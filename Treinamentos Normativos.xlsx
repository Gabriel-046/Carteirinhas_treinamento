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pasabr-my.sharepoint.com/personal/gabriel_oliveira_inpasa_com_br/Documents/Área de Trabalho/CarteirinhaTreinamentos/"/>
    </mc:Choice>
  </mc:AlternateContent>
  <xr:revisionPtr revIDLastSave="794" documentId="8_{FF07DBE4-2E43-45A4-A665-4C1273F6EE3D}" xr6:coauthVersionLast="47" xr6:coauthVersionMax="47" xr10:uidLastSave="{147AB728-4DB2-4B2E-AE9D-C2B229AE0FBB}"/>
  <bookViews>
    <workbookView xWindow="28680" yWindow="-120" windowWidth="29040" windowHeight="15720" xr2:uid="{593E7210-4473-4407-B4A2-ADC98FF555AA}"/>
  </bookViews>
  <sheets>
    <sheet name="BASE" sheetId="2" r:id="rId1"/>
    <sheet name="RENOVAÇÃO" sheetId="1" r:id="rId2"/>
  </sheets>
  <definedNames>
    <definedName name="_xlnm._FilterDatabase" localSheetId="1" hidden="1">RENOVAÇÃO!$A$1:$D$65</definedName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4" i="2" l="1"/>
  <c r="AA94" i="2" s="1"/>
  <c r="Y94" i="2"/>
  <c r="Z94" i="2"/>
  <c r="X2" i="2" l="1"/>
  <c r="AA2" i="2" s="1"/>
  <c r="X3" i="2"/>
  <c r="AA3" i="2" s="1"/>
  <c r="X4" i="2"/>
  <c r="AA4" i="2" s="1"/>
  <c r="X5" i="2"/>
  <c r="AA5" i="2" s="1"/>
  <c r="X6" i="2"/>
  <c r="AA6" i="2" s="1"/>
  <c r="X7" i="2"/>
  <c r="AA7" i="2" s="1"/>
  <c r="X8" i="2"/>
  <c r="AA8" i="2" s="1"/>
  <c r="X9" i="2"/>
  <c r="AA9" i="2" s="1"/>
  <c r="X10" i="2"/>
  <c r="AA10" i="2" s="1"/>
  <c r="X11" i="2"/>
  <c r="AA11" i="2" s="1"/>
  <c r="X12" i="2"/>
  <c r="AA12" i="2" s="1"/>
  <c r="X13" i="2"/>
  <c r="AA13" i="2" s="1"/>
  <c r="X14" i="2"/>
  <c r="AA14" i="2" s="1"/>
  <c r="X15" i="2"/>
  <c r="AA15" i="2" s="1"/>
  <c r="X16" i="2"/>
  <c r="AA16" i="2" s="1"/>
  <c r="X17" i="2"/>
  <c r="AA17" i="2" s="1"/>
  <c r="X18" i="2"/>
  <c r="AA18" i="2" s="1"/>
  <c r="X19" i="2"/>
  <c r="AA19" i="2" s="1"/>
  <c r="X20" i="2"/>
  <c r="AA20" i="2" s="1"/>
  <c r="X21" i="2"/>
  <c r="AA21" i="2" s="1"/>
  <c r="X22" i="2"/>
  <c r="AA22" i="2" s="1"/>
  <c r="X23" i="2"/>
  <c r="AA23" i="2" s="1"/>
  <c r="X24" i="2"/>
  <c r="AA24" i="2" s="1"/>
  <c r="X25" i="2"/>
  <c r="AA25" i="2" s="1"/>
  <c r="X26" i="2"/>
  <c r="AA26" i="2" s="1"/>
  <c r="X27" i="2"/>
  <c r="AA27" i="2" s="1"/>
  <c r="X28" i="2"/>
  <c r="AA28" i="2" s="1"/>
  <c r="X29" i="2"/>
  <c r="AA29" i="2" s="1"/>
  <c r="X30" i="2"/>
  <c r="AA30" i="2" s="1"/>
  <c r="X77" i="2"/>
  <c r="AA77" i="2" s="1"/>
  <c r="X79" i="2"/>
  <c r="AA79" i="2" s="1"/>
  <c r="X33" i="2"/>
  <c r="AA33" i="2" s="1"/>
  <c r="X34" i="2"/>
  <c r="AA34" i="2" s="1"/>
  <c r="X36" i="2"/>
  <c r="AA36" i="2" s="1"/>
  <c r="X37" i="2"/>
  <c r="AA37" i="2" s="1"/>
  <c r="X38" i="2"/>
  <c r="AA38" i="2" s="1"/>
  <c r="X39" i="2"/>
  <c r="AA39" i="2" s="1"/>
  <c r="X41" i="2"/>
  <c r="AA41" i="2" s="1"/>
  <c r="X42" i="2"/>
  <c r="AA42" i="2" s="1"/>
  <c r="X43" i="2"/>
  <c r="AA43" i="2" s="1"/>
  <c r="X44" i="2"/>
  <c r="AA44" i="2" s="1"/>
  <c r="X45" i="2"/>
  <c r="AA45" i="2" s="1"/>
  <c r="X46" i="2"/>
  <c r="AA46" i="2" s="1"/>
  <c r="X47" i="2"/>
  <c r="AA47" i="2" s="1"/>
  <c r="X48" i="2"/>
  <c r="AA48" i="2" s="1"/>
  <c r="X49" i="2"/>
  <c r="AA49" i="2" s="1"/>
  <c r="X50" i="2"/>
  <c r="AA50" i="2" s="1"/>
  <c r="X51" i="2"/>
  <c r="AA51" i="2" s="1"/>
  <c r="X52" i="2"/>
  <c r="AA52" i="2" s="1"/>
  <c r="X53" i="2"/>
  <c r="AA53" i="2" s="1"/>
  <c r="X54" i="2"/>
  <c r="AA54" i="2" s="1"/>
  <c r="X55" i="2"/>
  <c r="AA55" i="2" s="1"/>
  <c r="X56" i="2"/>
  <c r="AA56" i="2" s="1"/>
  <c r="X57" i="2"/>
  <c r="AA57" i="2" s="1"/>
  <c r="X58" i="2"/>
  <c r="AA58" i="2" s="1"/>
  <c r="X59" i="2"/>
  <c r="AA59" i="2" s="1"/>
  <c r="X60" i="2"/>
  <c r="AA60" i="2" s="1"/>
  <c r="X61" i="2"/>
  <c r="AA61" i="2" s="1"/>
  <c r="X62" i="2"/>
  <c r="AA62" i="2" s="1"/>
  <c r="X64" i="2"/>
  <c r="AA64" i="2" s="1"/>
  <c r="X66" i="2"/>
  <c r="AA66" i="2" s="1"/>
  <c r="X67" i="2"/>
  <c r="AA67" i="2" s="1"/>
  <c r="X68" i="2"/>
  <c r="AA68" i="2" s="1"/>
  <c r="X69" i="2"/>
  <c r="AA69" i="2" s="1"/>
  <c r="X71" i="2"/>
  <c r="AA71" i="2" s="1"/>
  <c r="X72" i="2"/>
  <c r="AA72" i="2" s="1"/>
  <c r="X73" i="2"/>
  <c r="AA73" i="2" s="1"/>
  <c r="X74" i="2"/>
  <c r="AA74" i="2" s="1"/>
  <c r="X75" i="2"/>
  <c r="AA75" i="2" s="1"/>
  <c r="X76" i="2"/>
  <c r="AA76" i="2" s="1"/>
  <c r="X78" i="2"/>
  <c r="AA78" i="2" s="1"/>
  <c r="X80" i="2"/>
  <c r="AA80" i="2" s="1"/>
  <c r="X81" i="2"/>
  <c r="AA81" i="2" s="1"/>
  <c r="X82" i="2"/>
  <c r="AA82" i="2" s="1"/>
  <c r="X83" i="2"/>
  <c r="AA83" i="2" s="1"/>
  <c r="X84" i="2"/>
  <c r="AA84" i="2" s="1"/>
  <c r="X85" i="2"/>
  <c r="AA85" i="2" s="1"/>
  <c r="X86" i="2"/>
  <c r="AA86" i="2" s="1"/>
  <c r="X87" i="2"/>
  <c r="AA87" i="2" s="1"/>
  <c r="X88" i="2"/>
  <c r="AA88" i="2" s="1"/>
  <c r="X89" i="2"/>
  <c r="AA89" i="2" s="1"/>
  <c r="X90" i="2"/>
  <c r="AA90" i="2" s="1"/>
  <c r="X91" i="2"/>
  <c r="AA91" i="2" s="1"/>
  <c r="X92" i="2"/>
  <c r="AA92" i="2" s="1"/>
  <c r="X63" i="2"/>
  <c r="AA63" i="2" s="1"/>
  <c r="X32" i="2"/>
  <c r="AA32" i="2" s="1"/>
  <c r="X65" i="2"/>
  <c r="AA65" i="2" s="1"/>
  <c r="X93" i="2"/>
  <c r="AA93" i="2" s="1"/>
  <c r="X70" i="2"/>
  <c r="AA70" i="2" s="1"/>
  <c r="X31" i="2"/>
  <c r="AA31" i="2" s="1"/>
  <c r="X35" i="2"/>
  <c r="AA35" i="2" s="1"/>
  <c r="X40" i="2"/>
  <c r="AA40" i="2" s="1"/>
  <c r="Z2" i="2"/>
  <c r="Y63" i="2"/>
  <c r="Y91" i="2"/>
  <c r="Y32" i="2"/>
  <c r="Y65" i="2"/>
  <c r="Y93" i="2"/>
  <c r="Y70" i="2"/>
  <c r="Y60" i="2"/>
  <c r="Y19" i="2"/>
  <c r="Y5" i="2"/>
  <c r="Y67" i="2"/>
  <c r="Y31" i="2"/>
  <c r="Y40" i="2"/>
  <c r="Y82" i="2"/>
  <c r="Y54" i="2"/>
  <c r="Y35" i="2"/>
  <c r="Z63" i="2"/>
  <c r="Z91" i="2"/>
  <c r="Z32" i="2"/>
  <c r="Z65" i="2"/>
  <c r="Z93" i="2"/>
  <c r="Z70" i="2"/>
  <c r="Z60" i="2"/>
  <c r="Z19" i="2"/>
  <c r="Z5" i="2"/>
  <c r="Z67" i="2"/>
  <c r="Z31" i="2"/>
  <c r="Z40" i="2"/>
  <c r="Z82" i="2"/>
  <c r="Z54" i="2"/>
  <c r="Z35" i="2"/>
  <c r="Y2" i="2" l="1"/>
  <c r="Y3" i="2"/>
  <c r="Y4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22" i="2"/>
  <c r="Y23" i="2"/>
  <c r="Y24" i="2"/>
  <c r="Y25" i="2"/>
  <c r="Y26" i="2"/>
  <c r="Y27" i="2"/>
  <c r="Y28" i="2"/>
  <c r="Y29" i="2"/>
  <c r="Y30" i="2"/>
  <c r="Y77" i="2"/>
  <c r="Y79" i="2"/>
  <c r="Y33" i="2"/>
  <c r="Y34" i="2"/>
  <c r="Y36" i="2"/>
  <c r="Y37" i="2"/>
  <c r="Y38" i="2"/>
  <c r="Y39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5" i="2"/>
  <c r="Y56" i="2"/>
  <c r="Y58" i="2"/>
  <c r="Y59" i="2"/>
  <c r="Y61" i="2"/>
  <c r="Y62" i="2"/>
  <c r="Y64" i="2"/>
  <c r="Y66" i="2"/>
  <c r="Y68" i="2"/>
  <c r="Y69" i="2"/>
  <c r="Y71" i="2"/>
  <c r="Y72" i="2"/>
  <c r="Y73" i="2"/>
  <c r="Y74" i="2"/>
  <c r="Y75" i="2"/>
  <c r="Y76" i="2"/>
  <c r="Y78" i="2"/>
  <c r="Y80" i="2"/>
  <c r="Y81" i="2"/>
  <c r="Y83" i="2"/>
  <c r="Y85" i="2"/>
  <c r="Y86" i="2"/>
  <c r="Y87" i="2"/>
  <c r="Y88" i="2"/>
  <c r="Y89" i="2"/>
  <c r="Y90" i="2"/>
  <c r="Y92" i="2"/>
  <c r="Y57" i="2"/>
  <c r="Y20" i="2"/>
  <c r="Y21" i="2"/>
  <c r="Y84" i="2"/>
  <c r="Z3" i="2"/>
  <c r="Z4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22" i="2"/>
  <c r="Z23" i="2"/>
  <c r="Z24" i="2"/>
  <c r="Z25" i="2"/>
  <c r="Z26" i="2"/>
  <c r="Z27" i="2"/>
  <c r="Z28" i="2"/>
  <c r="Z29" i="2"/>
  <c r="Z30" i="2"/>
  <c r="Z77" i="2"/>
  <c r="Z79" i="2"/>
  <c r="Z33" i="2"/>
  <c r="Z34" i="2"/>
  <c r="Z36" i="2"/>
  <c r="Z37" i="2"/>
  <c r="Z38" i="2"/>
  <c r="Z39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5" i="2"/>
  <c r="Z56" i="2"/>
  <c r="Z58" i="2"/>
  <c r="Z59" i="2"/>
  <c r="Z61" i="2"/>
  <c r="Z62" i="2"/>
  <c r="Z64" i="2"/>
  <c r="Z66" i="2"/>
  <c r="Z68" i="2"/>
  <c r="Z69" i="2"/>
  <c r="Z71" i="2"/>
  <c r="Z72" i="2"/>
  <c r="Z73" i="2"/>
  <c r="Z74" i="2"/>
  <c r="Z75" i="2"/>
  <c r="Z76" i="2"/>
  <c r="Z78" i="2"/>
  <c r="Z80" i="2"/>
  <c r="Z81" i="2"/>
  <c r="Z83" i="2"/>
  <c r="Z85" i="2"/>
  <c r="Z86" i="2"/>
  <c r="Z87" i="2"/>
  <c r="Z88" i="2"/>
  <c r="Z89" i="2"/>
  <c r="Z90" i="2"/>
  <c r="Z92" i="2"/>
  <c r="Z57" i="2"/>
  <c r="Z20" i="2"/>
  <c r="Z21" i="2"/>
  <c r="Z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2E2C23-F4BC-443C-815C-5045524A3F78}" keepAlive="1" name="Consulta - Tabela1" description="Conexão com a consulta 'Tabela1' na pasta de trabalho." type="5" refreshedVersion="0" background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<sst xmlns="http://schemas.openxmlformats.org/spreadsheetml/2006/main" count="1300" uniqueCount="127">
  <si>
    <t>DESCRIÇÃO</t>
  </si>
  <si>
    <t>PERIODISIDADE</t>
  </si>
  <si>
    <t xml:space="preserve">Dias </t>
  </si>
  <si>
    <t>TIPO DE TREINAMENTO</t>
  </si>
  <si>
    <t>ACIONAMENTOS</t>
  </si>
  <si>
    <t>QUANDO NECESSARIO</t>
  </si>
  <si>
    <t xml:space="preserve">TRILHA DA MANUTENÇÃO </t>
  </si>
  <si>
    <t>ALARMES DO PROCESSO DE PRODUÇÃO</t>
  </si>
  <si>
    <t>ASPR - ACERTO DE SERVIÇOS PROGRAMÁVEIS</t>
  </si>
  <si>
    <t xml:space="preserve">TRILHA COMPLIANCE </t>
  </si>
  <si>
    <t>BCKL | Backlog</t>
  </si>
  <si>
    <t>TRILHA SEGURANÇA DO TRABALHO</t>
  </si>
  <si>
    <t>BOAS PRATICAS DE LABORATORIO - BPL</t>
  </si>
  <si>
    <t>ANUAL</t>
  </si>
  <si>
    <t>TRILHA SGI</t>
  </si>
  <si>
    <t>CANAL DE DENUNCIAS INPASA</t>
  </si>
  <si>
    <t>CERTIFICAÇÕES HALAL E KOSHER</t>
  </si>
  <si>
    <t>CÓDIGO DE CONDUTA E ÉTICA</t>
  </si>
  <si>
    <t>COPM | CUSTO DE PARADA POR MANUTENÇÃO</t>
  </si>
  <si>
    <t>CPDR - CUMPRIMENTO DE PROGRAMAÇÃO</t>
  </si>
  <si>
    <t xml:space="preserve">DESABILITAÇÃO DE ACIONAMENTOS </t>
  </si>
  <si>
    <t>DIREÇÃO DEFENSIVA - TEÓRICO</t>
  </si>
  <si>
    <t>DISJUNTORES</t>
  </si>
  <si>
    <t>EFPT | EFICACIA DE PREVISAO DE TEMPO</t>
  </si>
  <si>
    <t>FUNÇÃO SIMULAÇÃO</t>
  </si>
  <si>
    <t>FUNÇÃO TVE</t>
  </si>
  <si>
    <t>GERAÇÃO DE ENERGIA</t>
  </si>
  <si>
    <t>IAHT - INDICE DE APROPRIACAO DE HORAS TECNICAS</t>
  </si>
  <si>
    <t>ICOC | ÍNDICE DE CUSTO DE MANUTENÇÃO CORRETIVA</t>
  </si>
  <si>
    <t>ICOT | ÍNDICE DE CUSTO TOTAL DE MANUTENÇÃO</t>
  </si>
  <si>
    <t>IMOB</t>
  </si>
  <si>
    <t>INFORMAÇÕES DE EQUIPAMENTO ATRAVÉS DO CR CODE</t>
  </si>
  <si>
    <t>IRTR - INDICE DE RETRABALHO</t>
  </si>
  <si>
    <t>ISAT - INDICE DE SATISFACAO DO CLIENTE</t>
  </si>
  <si>
    <t>ISO 9001:2015 E DIRETRIZ DA QUALIDADE (DOC. DO SGQ)</t>
  </si>
  <si>
    <t>MTTR - TEMPO MÉDIO PARA REPARO</t>
  </si>
  <si>
    <t>BIENAL</t>
  </si>
  <si>
    <t>NR 11 - OPERADOR PA CARREGADEIRA</t>
  </si>
  <si>
    <t>NR 11 - OPERAÇÃO DE EMPILHADEIRA</t>
  </si>
  <si>
    <t>NR 11 - OPERAÇÃO DE TALHAS E PONTE ROLANTE</t>
  </si>
  <si>
    <t>NR 13 - SEGURANÇA NA OPERAÇÃO DE CALDEIRAS</t>
  </si>
  <si>
    <t>NR 13 - SEGURANÇA NA OPERAÇÃO VASOS DE PRESSÃO</t>
  </si>
  <si>
    <t>NR 20 - SEG. E TRAB. INFLAMÁVEIS E COMBUSTIVEIS CLASSE III - AVANÇADO</t>
  </si>
  <si>
    <t>NR 20 - SEG. E TRAB. INFLAMÁVEIS E COMBUSTIVEIS CLASSE III - BASICO</t>
  </si>
  <si>
    <t>TRIENAL</t>
  </si>
  <si>
    <t>NR 20 - SEG. E TRAB. INFLAMÁVEIS E COMBUSTIVEIS CLASSE III - INTERMEDIÁRIO</t>
  </si>
  <si>
    <t>NR 26 - SINALIZAÇÃO DE SEGURANÇA</t>
  </si>
  <si>
    <t>NR 31.7 - SEGURANÇA NA APLICAÇÃO DE AGROTOXICOS/ADJUVANTES E PRODUTOS AFINS</t>
  </si>
  <si>
    <t>NR 33 - SEGURANÇA E SAUDE NOS TRABALHOS EM ESPAÇOS CONFINADOS - VIGIA E TRABALHADOR</t>
  </si>
  <si>
    <t>NR 35 - TRABALHO EM ALTURA</t>
  </si>
  <si>
    <t xml:space="preserve">PLANEJAMENTO E PROGRAMAÇÃO DE MANUTENÇÃO </t>
  </si>
  <si>
    <t>POLITICA DE CARGOS E SALARIOS</t>
  </si>
  <si>
    <t>TRILHA RH</t>
  </si>
  <si>
    <t>POLÍTICA DE USO ACEITÁVEL</t>
  </si>
  <si>
    <t>TRILHA TI</t>
  </si>
  <si>
    <t>TRILHA MEIO AMBIENTE</t>
  </si>
  <si>
    <t>PRIORIZAÇÃO DE SERVIÇOS E PROGRAMAÇÃO PELA CRITICIDADE</t>
  </si>
  <si>
    <t>PROCEDIMENTO/INSTRUÇÃO DE TRABALHO</t>
  </si>
  <si>
    <t>SEGURANÇA DA INFORMAÇÃO</t>
  </si>
  <si>
    <t>TREINAMENTO ABERTURA DE SOLICITACAO DE SERVICO - SS</t>
  </si>
  <si>
    <t>TREINAMENTO DE INTEGRAÇÃO - NOVOS COLABORADORES</t>
  </si>
  <si>
    <t>COMBATE AO ABUSO E À EXPLORAÇÃO SEXUAL DE CRIANÇAS E ADOLESCENTES, AO ASSÉDIO SEXUAL E MORAL E À CULTURA DO ESTUPRO</t>
  </si>
  <si>
    <t>NR 12 - MAQUINAS E EQUIPAMENTOS - FERRAMENTAS MANUAIS</t>
  </si>
  <si>
    <t>PREVENÇÃO E ENFRENTAMENTO DE ASSÉDIO MORAL E SEXUAL</t>
  </si>
  <si>
    <t>COMBATE À CORRUPÇÃO E PREVENÇÃO À LAVAGEM DE DINHEIRO</t>
  </si>
  <si>
    <t>BPF | BOAS PRÁTICAS DE FABRICAÇÃO</t>
  </si>
  <si>
    <t>CONFLITO DE INTERESSES</t>
  </si>
  <si>
    <t>LEVANTAMENTO DE ASPECTO E IMPACTO AMBIENTAL</t>
  </si>
  <si>
    <t>RENOVAÇÃO DOS PRINCIPIOS AMBIENTAIS</t>
  </si>
  <si>
    <t>GESTÃO DE COMUNICAÇÃO DO SGA</t>
  </si>
  <si>
    <t xml:space="preserve">PLANO DE ATENDIMENTO AMBIENTAL </t>
  </si>
  <si>
    <t>TREINAMENTO SOBRE EVIO DE EVENTOS ESOCIAL</t>
  </si>
  <si>
    <t>PT - PERMISSÃO DE TRABALHO</t>
  </si>
  <si>
    <t>COD_FUNCIONARIO</t>
  </si>
  <si>
    <t>NOME</t>
  </si>
  <si>
    <t>DATA_ADMISSAO</t>
  </si>
  <si>
    <t>SITUACAO</t>
  </si>
  <si>
    <t>RE_GESTOR</t>
  </si>
  <si>
    <t>NOME_GESTOR</t>
  </si>
  <si>
    <t>ESCALA</t>
  </si>
  <si>
    <t>DEPARTAMENTO</t>
  </si>
  <si>
    <t>OBJ_CUSTO_FUNC</t>
  </si>
  <si>
    <t>COD_CARGO</t>
  </si>
  <si>
    <t>CARGO</t>
  </si>
  <si>
    <t>COD_CURSO_REQUISITO</t>
  </si>
  <si>
    <t>TIPO</t>
  </si>
  <si>
    <t>DESCRICAO</t>
  </si>
  <si>
    <t>NOTA</t>
  </si>
  <si>
    <t>STATUS</t>
  </si>
  <si>
    <t>EMPRESA</t>
  </si>
  <si>
    <t>FILIAL</t>
  </si>
  <si>
    <t>SETOR</t>
  </si>
  <si>
    <t>NOME_SETOR</t>
  </si>
  <si>
    <t>DATA_CURSO</t>
  </si>
  <si>
    <t>TIPO_RENOVACAO</t>
  </si>
  <si>
    <t>VENCIDO</t>
  </si>
  <si>
    <t>FILIAL_NOME</t>
  </si>
  <si>
    <t>STATUS_GERAL</t>
  </si>
  <si>
    <t xml:space="preserve">TRILHA DE TREINAMENTO </t>
  </si>
  <si>
    <t>CURSO</t>
  </si>
  <si>
    <t>Concluido</t>
  </si>
  <si>
    <t>OPERAÇÕES</t>
  </si>
  <si>
    <t>ADMINISTRAÇÃO</t>
  </si>
  <si>
    <t>OBRAS CIVIS</t>
  </si>
  <si>
    <t>MANUTENÇÃO INDUSTRIAL</t>
  </si>
  <si>
    <t xml:space="preserve">801 - 06:00 AS 18:00 4-3 E 3-4 A1                                                                         </t>
  </si>
  <si>
    <t>PROCESSO INDUSTRIAL</t>
  </si>
  <si>
    <t>FROTA</t>
  </si>
  <si>
    <t>GABRIEL DA SILVA OLIVEIRA BROCHADO</t>
  </si>
  <si>
    <t>BLOQUEIO E SINALIZAÇÃO DE ENERGIAS PERIGOSAS - LOCKOUT/TAGOUT - NR10 E NR12</t>
  </si>
  <si>
    <t>NORMAL</t>
  </si>
  <si>
    <t>NR 10 - SEGURANÇA EM INSTALAÇÕES E SERVIÇOS EM ELETRICIDADE ( BASÍCO)</t>
  </si>
  <si>
    <t>NR 10 - SISTEMA ELÉTRICO DE POTÊNCIA (SEP)</t>
  </si>
  <si>
    <t>NR 11 - OPERADOR DE GUINDALTO/MUNCK</t>
  </si>
  <si>
    <t>ISO 14001 SISTEMA DE GESTÃO AMBIENTAL - SGA</t>
  </si>
  <si>
    <t>SEGURANÇA EM TRABALHOS A QUENTE - NR18 E NR34.5</t>
  </si>
  <si>
    <t>0</t>
  </si>
  <si>
    <t>365</t>
  </si>
  <si>
    <t>730</t>
  </si>
  <si>
    <t>1095</t>
  </si>
  <si>
    <t>TREINAMENTO_STATUS_GERAL</t>
  </si>
  <si>
    <t>GABRIEL DE OLIVEIRA</t>
  </si>
  <si>
    <t>GABRIEL ALVES BACELAR</t>
  </si>
  <si>
    <t>GABRIEL JOSE FRANCISCO SANTOS</t>
  </si>
  <si>
    <t>GABRIEL DOS SANTOS ZAMBOM</t>
  </si>
  <si>
    <t>EXPORTAÇÃO</t>
  </si>
  <si>
    <t>OPERADOR MAQUINAS AUTOPROPELIDAS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</si>
</sst>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8"/>
      <color indexed="63"/>
      <name val="Verdana"/>
      <family val="2"/>
    </font>
    <font>
      <b/>
      <sz val="11"/>
      <color theme="1" tint="4.9989318521683403E-2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8"/>
      <color indexed="63"/>
      <name val="Verdana"/>
      <charset val="1"/>
    </font>
    <font>
      <sz val="11"/>
      <color theme="1"/>
      <name val="Calibri"/>
    </font>
    <font>
      <sz val="10"/>
      <name val="Arial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8" fillId="0" borderId="5" xfId="0" applyFont="1" applyBorder="1" applyAlignment="1">
      <alignment horizontal="left"/>
    </xf>
    <xf numFmtId="0" fontId="0" fillId="0" borderId="0" xfId="0" applyFill="1"/>
    <xf numFmtId="0" fontId="5" fillId="0" borderId="3" xfId="0" applyFont="1" applyFill="1" applyBorder="1" applyAlignment="1">
      <alignment horizontal="right" vertical="top" wrapText="1"/>
    </xf>
    <xf numFmtId="0" fontId="5" fillId="0" borderId="3" xfId="0" applyFont="1" applyFill="1" applyBorder="1" applyAlignment="1">
      <alignment horizontal="left" vertical="top" wrapText="1"/>
    </xf>
    <xf numFmtId="14" fontId="5" fillId="0" borderId="3" xfId="0" applyNumberFormat="1" applyFont="1" applyFill="1" applyBorder="1" applyAlignment="1">
      <alignment horizontal="left" vertical="top" wrapText="1"/>
    </xf>
    <xf numFmtId="0" fontId="5" fillId="0" borderId="3" xfId="2" applyFont="1" applyFill="1" applyBorder="1" applyAlignment="1">
      <alignment horizontal="left" vertical="top" wrapText="1"/>
    </xf>
    <xf numFmtId="0" fontId="5" fillId="0" borderId="3" xfId="2" applyFont="1" applyFill="1" applyBorder="1" applyAlignment="1">
      <alignment horizontal="right" vertical="top" wrapText="1"/>
    </xf>
    <xf numFmtId="14" fontId="5" fillId="0" borderId="3" xfId="2" applyNumberFormat="1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right" vertical="top"/>
    </xf>
    <xf numFmtId="0" fontId="3" fillId="0" borderId="0" xfId="0" applyFont="1" applyFill="1"/>
    <xf numFmtId="0" fontId="1" fillId="0" borderId="0" xfId="2" applyNumberFormat="1" applyFont="1" applyFill="1" applyAlignment="1">
      <alignment horizontal="right" vertical="top"/>
    </xf>
    <xf numFmtId="0" fontId="6" fillId="0" borderId="0" xfId="0" applyFont="1" applyFill="1" applyAlignment="1"/>
    <xf numFmtId="0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8884391-D964-494A-997D-ED3858AAF0CF}"/>
    <cellStyle name="Normal 3" xfId="2" xr:uid="{EE9E7E5F-D59A-4B50-B096-F1D1FDE85294}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none">
          <fgColor theme="0" tint="-0.14999847407452621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family val="2"/>
        <scheme val="none"/>
      </font>
      <numFmt numFmtId="0" formatCode="General"/>
      <fill>
        <patternFill patternType="none">
          <fgColor theme="0" tint="-0.14999847407452621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numFmt numFmtId="19" formatCode="dd/mm/yyyy"/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4" tint="0.79998168889431442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4" tint="0.79998168889431442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4" tint="0.79998168889431442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numFmt numFmtId="19" formatCode="dd/mm/yyyy"/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63"/>
        <name val="Verdana"/>
        <charset val="1"/>
        <scheme val="none"/>
      </font>
      <fill>
        <patternFill patternType="none">
          <fgColor theme="0" tint="-0.14999847407452621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2"/>
        </left>
        <right style="thin">
          <color indexed="62"/>
        </right>
        <top style="thin">
          <color indexed="62"/>
        </top>
        <bottom style="thin">
          <color indexed="62"/>
        </bottom>
      </border>
    </dxf>
    <dxf>
      <border outline="0">
        <top style="thin">
          <color indexed="64"/>
        </top>
      </border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1E1EE-5D8F-4463-B3AC-3E0288975F6D}" name="Tabela1" displayName="Tabela1" ref="A1:AA94" totalsRowShown="0" headerRowDxfId="0" dataDxfId="1" headerRowBorderDxfId="30" tableBorderDxfId="29">
  <autoFilter ref="A1:AA94" xr:uid="{CC51E1EE-5D8F-4463-B3AC-3E0288975F6D}"/>
  <sortState xmlns:xlrd2="http://schemas.microsoft.com/office/spreadsheetml/2017/richdata2" ref="A11:AA93">
    <sortCondition ref="A1:A93"/>
  </sortState>
  <tableColumns count="27">
    <tableColumn id="1" xr3:uid="{184AE877-3641-41C7-900B-1E7AD0E1F8A3}" name="COD_FUNCIONARIO" dataDxfId="28"/>
    <tableColumn id="2" xr3:uid="{EB67A5EA-7205-48F9-882A-F209D22A1243}" name="NOME" dataDxfId="27"/>
    <tableColumn id="3" xr3:uid="{69510624-4559-4E59-89BC-64A565B9BB57}" name="DATA_ADMISSAO" dataDxfId="26"/>
    <tableColumn id="4" xr3:uid="{C06A02E0-7E8C-4862-895A-03B6FE271372}" name="SITUACAO" dataDxfId="25"/>
    <tableColumn id="5" xr3:uid="{18D13C7A-03B1-4D60-A51A-C716B57BE435}" name="RE_GESTOR" dataDxfId="24"/>
    <tableColumn id="6" xr3:uid="{30CD7042-5180-4611-ACA7-2EB91D677411}" name="NOME_GESTOR" dataDxfId="23"/>
    <tableColumn id="7" xr3:uid="{77F42019-71B9-44E5-B478-AE3F85065A37}" name="ESCALA" dataDxfId="22"/>
    <tableColumn id="8" xr3:uid="{526A9DDA-A3A6-4A5D-A0C0-FDEA372603A5}" name="DEPARTAMENTO" dataDxfId="21"/>
    <tableColumn id="9" xr3:uid="{5AEEB211-DB54-4F9D-BF1D-2BE2453A2F8C}" name="OBJ_CUSTO_FUNC" dataDxfId="20"/>
    <tableColumn id="10" xr3:uid="{226E638F-8AA0-4859-B65C-918CA8D65F2D}" name="COD_CARGO" dataDxfId="19"/>
    <tableColumn id="11" xr3:uid="{B785FBF6-E67F-4283-9A54-471CFB1B34DD}" name="CARGO" dataDxfId="18"/>
    <tableColumn id="12" xr3:uid="{E5276929-3681-40FF-B65E-68CAFE1F8D1B}" name="COD_CURSO_REQUISITO" dataDxfId="17"/>
    <tableColumn id="13" xr3:uid="{15199CE7-A63D-4EF0-9794-AEA746B7CA95}" name="TIPO" dataDxfId="16"/>
    <tableColumn id="14" xr3:uid="{193B57CD-B438-41ED-B8C8-1D50AAE8FF57}" name="DESCRICAO" dataDxfId="15"/>
    <tableColumn id="15" xr3:uid="{73C1AFB5-ED55-4ACF-90F8-1C73DCC264B6}" name="NOTA" dataDxfId="14"/>
    <tableColumn id="16" xr3:uid="{507F5164-81DC-4102-B191-CB3650039EF8}" name="STATUS" dataDxfId="13"/>
    <tableColumn id="17" xr3:uid="{E844C6D9-5DDA-44FC-A4F9-B12F244A8CB1}" name="EMPRESA" dataDxfId="12"/>
    <tableColumn id="18" xr3:uid="{0B1F22A2-D4A7-4F15-B3F5-E14A2DAB744B}" name="FILIAL" dataDxfId="11"/>
    <tableColumn id="19" xr3:uid="{955FBFB2-5133-4C0D-A384-C56D065A44C7}" name="SETOR" dataDxfId="10"/>
    <tableColumn id="20" xr3:uid="{93208434-83E7-4ADA-9C20-65CE8282579A}" name="NOME_SETOR" dataDxfId="9"/>
    <tableColumn id="21" xr3:uid="{371B351D-E994-464A-A1AE-23716963AFDC}" name="DATA_CURSO" dataDxfId="8"/>
    <tableColumn id="22" xr3:uid="{D8258EEF-44D3-4421-8B1B-1431587B18DC}" name="TIPO_RENOVACAO" dataDxfId="7"/>
    <tableColumn id="23" xr3:uid="{5DFCDE90-0FF1-4B98-8D7D-1039C19D5169}" name="VENCIDO" dataDxfId="6"/>
    <tableColumn id="24" xr3:uid="{159A9C21-8097-47F7-8A06-07FEEDFFBB5C}" name="STATUS_GERAL" dataDxfId="5" dataCellStyle="Normal 3">
      <calculatedColumnFormula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calculatedColumnFormula>
    </tableColumn>
    <tableColumn id="25" xr3:uid="{574EBF64-B992-4010-9BB2-AE0DCD761B79}" name="FILIAL_NOME" dataDxfId="4">
      <calculatedColumnFormula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calculatedColumnFormula>
    </tableColumn>
    <tableColumn id="28" xr3:uid="{87287027-A2D8-4ABD-982C-E2B5B5BAE061}" name="TRILHA DE TREINAMENTO " dataDxfId="3">
      <calculatedColumnFormula>VLOOKUP(N2,RENOVAÇÃO!A:D,4,0)</calculatedColumnFormula>
    </tableColumn>
    <tableColumn id="29" xr3:uid="{F36556D1-D2C2-43A0-AC4E-4F7EA9CD21CB}" name="TREINAMENTO_STATUS_GERAL" dataDxfId="2">
      <calculatedColumnFormula>CONCATENATE("• ",
    Tabela1[[#This Row],[DESCRICAO]], " - ",Tabela1[[#This Row],[STATUS_GERAL]])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411B-270E-4B7F-B5A0-513C2E9AA64C}">
  <dimension ref="A1:AA94"/>
  <sheetViews>
    <sheetView tabSelected="1" workbookViewId="0">
      <selection activeCell="K2" sqref="K2"/>
    </sheetView>
  </sheetViews>
  <sheetFormatPr defaultRowHeight="14.4" x14ac:dyDescent="0.3"/>
  <cols>
    <col min="1" max="1" width="23.33203125" style="6" bestFit="1" customWidth="1"/>
    <col min="2" max="2" width="30.77734375" style="6" bestFit="1" customWidth="1"/>
    <col min="3" max="3" width="20.21875" style="6" bestFit="1" customWidth="1"/>
    <col min="4" max="4" width="14.33203125" style="6" bestFit="1" customWidth="1"/>
    <col min="5" max="5" width="15.77734375" style="6" bestFit="1" customWidth="1"/>
    <col min="6" max="6" width="35.5546875" style="6" bestFit="1" customWidth="1"/>
    <col min="7" max="7" width="29.44140625" style="6" bestFit="1" customWidth="1"/>
    <col min="8" max="8" width="20" style="6" bestFit="1" customWidth="1"/>
    <col min="9" max="9" width="21.6640625" style="6" bestFit="1" customWidth="1"/>
    <col min="10" max="10" width="16.88671875" style="6" bestFit="1" customWidth="1"/>
    <col min="11" max="11" width="35.44140625" style="6" bestFit="1" customWidth="1"/>
    <col min="12" max="12" width="27.6640625" style="6" bestFit="1" customWidth="1"/>
    <col min="13" max="13" width="9.44140625" style="6" bestFit="1" customWidth="1"/>
    <col min="14" max="14" width="85.6640625" style="6" bestFit="1" customWidth="1"/>
    <col min="15" max="15" width="10.21875" style="6" bestFit="1" customWidth="1"/>
    <col min="16" max="16" width="11.88671875" style="6" bestFit="1" customWidth="1"/>
    <col min="17" max="17" width="13.77734375" style="6" bestFit="1" customWidth="1"/>
    <col min="18" max="18" width="10.5546875" style="6" bestFit="1" customWidth="1"/>
    <col min="19" max="19" width="11.21875" style="6" bestFit="1" customWidth="1"/>
    <col min="20" max="20" width="23.21875" style="6" bestFit="1" customWidth="1"/>
    <col min="21" max="21" width="17.33203125" style="6" bestFit="1" customWidth="1"/>
    <col min="22" max="22" width="21.77734375" style="6" bestFit="1" customWidth="1"/>
    <col min="23" max="23" width="13.77734375" style="6" bestFit="1" customWidth="1"/>
    <col min="24" max="24" width="29.88671875" style="6" bestFit="1" customWidth="1"/>
    <col min="25" max="25" width="24.109375" style="6" bestFit="1" customWidth="1"/>
    <col min="26" max="26" width="31.21875" style="6" bestFit="1" customWidth="1"/>
    <col min="27" max="27" width="111.88671875" style="18" bestFit="1" customWidth="1"/>
    <col min="28" max="16384" width="8.88671875" style="6"/>
  </cols>
  <sheetData>
    <row r="1" spans="1:27" ht="15" thickBot="1" x14ac:dyDescent="0.35">
      <c r="A1" s="20" t="s">
        <v>73</v>
      </c>
      <c r="B1" s="20" t="s">
        <v>74</v>
      </c>
      <c r="C1" s="20" t="s">
        <v>75</v>
      </c>
      <c r="D1" s="20" t="s">
        <v>76</v>
      </c>
      <c r="E1" s="20" t="s">
        <v>77</v>
      </c>
      <c r="F1" s="20" t="s">
        <v>78</v>
      </c>
      <c r="G1" s="20" t="s">
        <v>79</v>
      </c>
      <c r="H1" s="20" t="s">
        <v>80</v>
      </c>
      <c r="I1" s="20" t="s">
        <v>81</v>
      </c>
      <c r="J1" s="20" t="s">
        <v>82</v>
      </c>
      <c r="K1" s="20" t="s">
        <v>83</v>
      </c>
      <c r="L1" s="20" t="s">
        <v>84</v>
      </c>
      <c r="M1" s="20" t="s">
        <v>85</v>
      </c>
      <c r="N1" s="20" t="s">
        <v>86</v>
      </c>
      <c r="O1" s="20" t="s">
        <v>87</v>
      </c>
      <c r="P1" s="20" t="s">
        <v>88</v>
      </c>
      <c r="Q1" s="20" t="s">
        <v>89</v>
      </c>
      <c r="R1" s="20" t="s">
        <v>90</v>
      </c>
      <c r="S1" s="20" t="s">
        <v>91</v>
      </c>
      <c r="T1" s="20" t="s">
        <v>92</v>
      </c>
      <c r="U1" s="20" t="s">
        <v>93</v>
      </c>
      <c r="V1" s="20" t="s">
        <v>94</v>
      </c>
      <c r="W1" s="20" t="s">
        <v>95</v>
      </c>
      <c r="X1" s="19" t="s">
        <v>97</v>
      </c>
      <c r="Y1" s="19" t="s">
        <v>96</v>
      </c>
      <c r="Z1" s="19" t="s">
        <v>98</v>
      </c>
      <c r="AA1" s="19" t="s">
        <v>120</v>
      </c>
    </row>
    <row r="2" spans="1:27" ht="20.399999999999999" x14ac:dyDescent="0.3">
      <c r="A2" s="7">
        <v>3</v>
      </c>
      <c r="B2" s="8" t="s">
        <v>123</v>
      </c>
      <c r="C2" s="9">
        <v>43683</v>
      </c>
      <c r="D2" s="8" t="s">
        <v>110</v>
      </c>
      <c r="E2" s="7">
        <v>5</v>
      </c>
      <c r="F2" s="8" t="s">
        <v>108</v>
      </c>
      <c r="G2" s="8" t="s">
        <v>105</v>
      </c>
      <c r="H2" s="8" t="s">
        <v>125</v>
      </c>
      <c r="I2" s="7">
        <v>134</v>
      </c>
      <c r="J2" s="7">
        <v>5076</v>
      </c>
      <c r="K2" s="8" t="s">
        <v>126</v>
      </c>
      <c r="L2" s="7">
        <v>123</v>
      </c>
      <c r="M2" s="8" t="s">
        <v>99</v>
      </c>
      <c r="N2" s="10" t="s">
        <v>43</v>
      </c>
      <c r="O2" s="10"/>
      <c r="P2" s="10" t="s">
        <v>100</v>
      </c>
      <c r="Q2" s="11">
        <v>1</v>
      </c>
      <c r="R2" s="11">
        <v>1</v>
      </c>
      <c r="S2" s="11">
        <v>78</v>
      </c>
      <c r="T2" s="10" t="s">
        <v>102</v>
      </c>
      <c r="U2" s="12">
        <v>45243</v>
      </c>
      <c r="V2" s="10" t="s">
        <v>44</v>
      </c>
      <c r="W2" s="11">
        <v>-384</v>
      </c>
      <c r="X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12/11/26</v>
      </c>
      <c r="Y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" s="14" t="str">
        <f>VLOOKUP(N2,RENOVAÇÃO!A:D,4,0)</f>
        <v>TRILHA SEGURANÇA DO TRABALHO</v>
      </c>
      <c r="AA2" s="6" t="str">
        <f ca="1">CONCATENATE("• ",
    Tabela1[[#This Row],[DESCRICAO]], " - ",Tabela1[[#This Row],[STATUS_GERAL]])</f>
        <v>• NR 20 - SEG. E TRAB. INFLAMÁVEIS E COMBUSTIVEIS CLASSE III - BASICO - EM DIA – vence em 12/11/26</v>
      </c>
    </row>
    <row r="3" spans="1:27" ht="20.399999999999999" x14ac:dyDescent="0.3">
      <c r="A3" s="7">
        <v>3</v>
      </c>
      <c r="B3" s="8" t="s">
        <v>123</v>
      </c>
      <c r="C3" s="9">
        <v>43683</v>
      </c>
      <c r="D3" s="8" t="s">
        <v>110</v>
      </c>
      <c r="E3" s="7">
        <v>5</v>
      </c>
      <c r="F3" s="8" t="s">
        <v>108</v>
      </c>
      <c r="G3" s="8" t="s">
        <v>105</v>
      </c>
      <c r="H3" s="8" t="s">
        <v>125</v>
      </c>
      <c r="I3" s="7">
        <v>134</v>
      </c>
      <c r="J3" s="7">
        <v>5076</v>
      </c>
      <c r="K3" s="8" t="s">
        <v>126</v>
      </c>
      <c r="L3" s="7">
        <v>266</v>
      </c>
      <c r="M3" s="8" t="s">
        <v>99</v>
      </c>
      <c r="N3" s="10" t="s">
        <v>45</v>
      </c>
      <c r="O3" s="10"/>
      <c r="P3" s="10" t="s">
        <v>100</v>
      </c>
      <c r="Q3" s="11">
        <v>1</v>
      </c>
      <c r="R3" s="11">
        <v>1</v>
      </c>
      <c r="S3" s="11">
        <v>80</v>
      </c>
      <c r="T3" s="10" t="s">
        <v>104</v>
      </c>
      <c r="U3" s="12">
        <v>45812</v>
      </c>
      <c r="V3" s="10" t="s">
        <v>36</v>
      </c>
      <c r="W3" s="11">
        <v>-588</v>
      </c>
      <c r="X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04/06/27</v>
      </c>
      <c r="Y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" s="14" t="str">
        <f>VLOOKUP(N3,RENOVAÇÃO!A:D,4,0)</f>
        <v>TRILHA SEGURANÇA DO TRABALHO</v>
      </c>
      <c r="AA3" s="6" t="str">
        <f ca="1">CONCATENATE("• ",
    Tabela1[[#This Row],[DESCRICAO]], " - ",Tabela1[[#This Row],[STATUS_GERAL]])</f>
        <v>• NR 20 - SEG. E TRAB. INFLAMÁVEIS E COMBUSTIVEIS CLASSE III - INTERMEDIÁRIO - EM DIA – vence em 04/06/27</v>
      </c>
    </row>
    <row r="4" spans="1:27" ht="20.399999999999999" x14ac:dyDescent="0.3">
      <c r="A4" s="7">
        <v>3</v>
      </c>
      <c r="B4" s="8" t="s">
        <v>123</v>
      </c>
      <c r="C4" s="9">
        <v>43683</v>
      </c>
      <c r="D4" s="8" t="s">
        <v>110</v>
      </c>
      <c r="E4" s="7">
        <v>5</v>
      </c>
      <c r="F4" s="8" t="s">
        <v>108</v>
      </c>
      <c r="G4" s="8" t="s">
        <v>105</v>
      </c>
      <c r="H4" s="8" t="s">
        <v>125</v>
      </c>
      <c r="I4" s="7">
        <v>134</v>
      </c>
      <c r="J4" s="7">
        <v>5076</v>
      </c>
      <c r="K4" s="8" t="s">
        <v>126</v>
      </c>
      <c r="L4" s="7">
        <v>28</v>
      </c>
      <c r="M4" s="8" t="s">
        <v>99</v>
      </c>
      <c r="N4" s="10" t="s">
        <v>49</v>
      </c>
      <c r="O4" s="10"/>
      <c r="P4" s="10" t="s">
        <v>100</v>
      </c>
      <c r="Q4" s="11">
        <v>1</v>
      </c>
      <c r="R4" s="11">
        <v>1</v>
      </c>
      <c r="S4" s="11">
        <v>80</v>
      </c>
      <c r="T4" s="10" t="s">
        <v>104</v>
      </c>
      <c r="U4" s="12">
        <v>45349</v>
      </c>
      <c r="V4" s="10" t="s">
        <v>36</v>
      </c>
      <c r="W4" s="11">
        <v>-125</v>
      </c>
      <c r="X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26/02/26</v>
      </c>
      <c r="Y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4" s="14" t="str">
        <f>VLOOKUP(N4,RENOVAÇÃO!A:D,4,0)</f>
        <v>TRILHA SEGURANÇA DO TRABALHO</v>
      </c>
      <c r="AA4" s="6" t="str">
        <f ca="1">CONCATENATE("• ",
    Tabela1[[#This Row],[DESCRICAO]], " - ",Tabela1[[#This Row],[STATUS_GERAL]])</f>
        <v>• NR 35 - TRABALHO EM ALTURA - EM DIA – vence em 26/02/26</v>
      </c>
    </row>
    <row r="5" spans="1:27" ht="20.399999999999999" x14ac:dyDescent="0.3">
      <c r="A5" s="7">
        <v>3</v>
      </c>
      <c r="B5" s="8" t="s">
        <v>123</v>
      </c>
      <c r="C5" s="9">
        <v>43683</v>
      </c>
      <c r="D5" s="8" t="s">
        <v>110</v>
      </c>
      <c r="E5" s="7">
        <v>5</v>
      </c>
      <c r="F5" s="8" t="s">
        <v>108</v>
      </c>
      <c r="G5" s="8" t="s">
        <v>105</v>
      </c>
      <c r="H5" s="8" t="s">
        <v>125</v>
      </c>
      <c r="I5" s="7">
        <v>134</v>
      </c>
      <c r="J5" s="7">
        <v>5076</v>
      </c>
      <c r="K5" s="8" t="s">
        <v>126</v>
      </c>
      <c r="L5" s="7">
        <v>10</v>
      </c>
      <c r="M5" s="8" t="s">
        <v>99</v>
      </c>
      <c r="N5" s="10" t="s">
        <v>48</v>
      </c>
      <c r="O5" s="10"/>
      <c r="P5" s="10" t="s">
        <v>100</v>
      </c>
      <c r="Q5" s="11">
        <v>1</v>
      </c>
      <c r="R5" s="11">
        <v>1</v>
      </c>
      <c r="S5" s="11">
        <v>80</v>
      </c>
      <c r="T5" s="10" t="s">
        <v>104</v>
      </c>
      <c r="U5" s="12">
        <v>44333</v>
      </c>
      <c r="V5" s="10" t="s">
        <v>13</v>
      </c>
      <c r="W5" s="11">
        <v>1256</v>
      </c>
      <c r="X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VENCIDO – 17/05/22</v>
      </c>
      <c r="Y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" s="14" t="str">
        <f>VLOOKUP(N5,RENOVAÇÃO!A:D,4,0)</f>
        <v>TRILHA SEGURANÇA DO TRABALHO</v>
      </c>
      <c r="AA5" s="6" t="str">
        <f ca="1">CONCATENATE("• ",
    Tabela1[[#This Row],[DESCRICAO]], " - ",Tabela1[[#This Row],[STATUS_GERAL]])</f>
        <v>• NR 33 - SEGURANÇA E SAUDE NOS TRABALHOS EM ESPAÇOS CONFINADOS - VIGIA E TRABALHADOR - VENCIDO – 17/05/22</v>
      </c>
    </row>
    <row r="6" spans="1:27" x14ac:dyDescent="0.3">
      <c r="A6" s="7">
        <v>3</v>
      </c>
      <c r="B6" s="8" t="s">
        <v>123</v>
      </c>
      <c r="C6" s="9">
        <v>43683</v>
      </c>
      <c r="D6" s="8" t="s">
        <v>110</v>
      </c>
      <c r="E6" s="7">
        <v>5</v>
      </c>
      <c r="F6" s="8" t="s">
        <v>108</v>
      </c>
      <c r="G6" s="8" t="s">
        <v>105</v>
      </c>
      <c r="H6" s="8" t="s">
        <v>125</v>
      </c>
      <c r="I6" s="7">
        <v>134</v>
      </c>
      <c r="J6" s="7">
        <v>5076</v>
      </c>
      <c r="K6" s="8" t="s">
        <v>126</v>
      </c>
      <c r="L6" s="7">
        <v>262</v>
      </c>
      <c r="M6" s="8" t="s">
        <v>99</v>
      </c>
      <c r="N6" s="10" t="s">
        <v>37</v>
      </c>
      <c r="O6" s="10"/>
      <c r="P6" s="10" t="s">
        <v>100</v>
      </c>
      <c r="Q6" s="11">
        <v>1</v>
      </c>
      <c r="R6" s="11">
        <v>1</v>
      </c>
      <c r="S6" s="11">
        <v>114</v>
      </c>
      <c r="T6" s="10" t="s">
        <v>101</v>
      </c>
      <c r="U6" s="12">
        <v>45871</v>
      </c>
      <c r="V6" s="10" t="s">
        <v>36</v>
      </c>
      <c r="W6" s="11">
        <v>-647</v>
      </c>
      <c r="X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02/08/27</v>
      </c>
      <c r="Y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6" s="14" t="str">
        <f>VLOOKUP(N6,RENOVAÇÃO!A:D,4,0)</f>
        <v>TRILHA SEGURANÇA DO TRABALHO</v>
      </c>
      <c r="AA6" s="6" t="str">
        <f ca="1">CONCATENATE("• ",
    Tabela1[[#This Row],[DESCRICAO]], " - ",Tabela1[[#This Row],[STATUS_GERAL]])</f>
        <v>• NR 11 - OPERADOR PA CARREGADEIRA - EM DIA – vence em 02/08/27</v>
      </c>
    </row>
    <row r="7" spans="1:27" ht="20.399999999999999" x14ac:dyDescent="0.3">
      <c r="A7" s="7">
        <v>3</v>
      </c>
      <c r="B7" s="8" t="s">
        <v>123</v>
      </c>
      <c r="C7" s="9">
        <v>43683</v>
      </c>
      <c r="D7" s="8" t="s">
        <v>110</v>
      </c>
      <c r="E7" s="7">
        <v>5</v>
      </c>
      <c r="F7" s="8" t="s">
        <v>108</v>
      </c>
      <c r="G7" s="8" t="s">
        <v>105</v>
      </c>
      <c r="H7" s="8" t="s">
        <v>125</v>
      </c>
      <c r="I7" s="7">
        <v>134</v>
      </c>
      <c r="J7" s="7">
        <v>5076</v>
      </c>
      <c r="K7" s="8" t="s">
        <v>126</v>
      </c>
      <c r="L7" s="7">
        <v>8</v>
      </c>
      <c r="M7" s="8" t="s">
        <v>99</v>
      </c>
      <c r="N7" s="10" t="s">
        <v>49</v>
      </c>
      <c r="O7" s="10"/>
      <c r="P7" s="10" t="s">
        <v>100</v>
      </c>
      <c r="Q7" s="11">
        <v>1</v>
      </c>
      <c r="R7" s="11">
        <v>3</v>
      </c>
      <c r="S7" s="11">
        <v>102</v>
      </c>
      <c r="T7" s="10" t="s">
        <v>106</v>
      </c>
      <c r="U7" s="12">
        <v>45581</v>
      </c>
      <c r="V7" s="10" t="s">
        <v>36</v>
      </c>
      <c r="W7" s="11">
        <v>-357</v>
      </c>
      <c r="X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16/10/26</v>
      </c>
      <c r="Y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7" s="14" t="str">
        <f>VLOOKUP(N7,RENOVAÇÃO!A:D,4,0)</f>
        <v>TRILHA SEGURANÇA DO TRABALHO</v>
      </c>
      <c r="AA7" s="6" t="str">
        <f ca="1">CONCATENATE("• ",
    Tabela1[[#This Row],[DESCRICAO]], " - ",Tabela1[[#This Row],[STATUS_GERAL]])</f>
        <v>• NR 35 - TRABALHO EM ALTURA - EM DIA – vence em 16/10/26</v>
      </c>
    </row>
    <row r="8" spans="1:27" ht="20.399999999999999" x14ac:dyDescent="0.3">
      <c r="A8" s="7">
        <v>3</v>
      </c>
      <c r="B8" s="8" t="s">
        <v>123</v>
      </c>
      <c r="C8" s="9">
        <v>43683</v>
      </c>
      <c r="D8" s="8" t="s">
        <v>110</v>
      </c>
      <c r="E8" s="7">
        <v>5</v>
      </c>
      <c r="F8" s="8" t="s">
        <v>108</v>
      </c>
      <c r="G8" s="8" t="s">
        <v>105</v>
      </c>
      <c r="H8" s="8" t="s">
        <v>125</v>
      </c>
      <c r="I8" s="7">
        <v>134</v>
      </c>
      <c r="J8" s="7">
        <v>5076</v>
      </c>
      <c r="K8" s="8" t="s">
        <v>126</v>
      </c>
      <c r="L8" s="7">
        <v>1</v>
      </c>
      <c r="M8" s="8" t="s">
        <v>99</v>
      </c>
      <c r="N8" s="10" t="s">
        <v>109</v>
      </c>
      <c r="O8" s="10"/>
      <c r="P8" s="10" t="s">
        <v>100</v>
      </c>
      <c r="Q8" s="11">
        <v>1</v>
      </c>
      <c r="R8" s="11">
        <v>3</v>
      </c>
      <c r="S8" s="11">
        <v>102</v>
      </c>
      <c r="T8" s="10" t="s">
        <v>106</v>
      </c>
      <c r="U8" s="12">
        <v>44820</v>
      </c>
      <c r="V8" s="10" t="s">
        <v>5</v>
      </c>
      <c r="W8" s="11"/>
      <c r="X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" s="14" t="str">
        <f>VLOOKUP(N8,RENOVAÇÃO!A:D,4,0)</f>
        <v>TRILHA SEGURANÇA DO TRABALHO</v>
      </c>
      <c r="AA8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9" spans="1:27" ht="20.399999999999999" x14ac:dyDescent="0.3">
      <c r="A9" s="7">
        <v>3</v>
      </c>
      <c r="B9" s="8" t="s">
        <v>123</v>
      </c>
      <c r="C9" s="9">
        <v>43683</v>
      </c>
      <c r="D9" s="8" t="s">
        <v>110</v>
      </c>
      <c r="E9" s="7">
        <v>5</v>
      </c>
      <c r="F9" s="8" t="s">
        <v>108</v>
      </c>
      <c r="G9" s="8" t="s">
        <v>105</v>
      </c>
      <c r="H9" s="8" t="s">
        <v>125</v>
      </c>
      <c r="I9" s="7">
        <v>134</v>
      </c>
      <c r="J9" s="7">
        <v>5076</v>
      </c>
      <c r="K9" s="8" t="s">
        <v>126</v>
      </c>
      <c r="L9" s="7">
        <v>308</v>
      </c>
      <c r="M9" s="8" t="s">
        <v>99</v>
      </c>
      <c r="N9" s="10" t="s">
        <v>49</v>
      </c>
      <c r="O9" s="10"/>
      <c r="P9" s="10" t="s">
        <v>100</v>
      </c>
      <c r="Q9" s="11">
        <v>1</v>
      </c>
      <c r="R9" s="11">
        <v>1</v>
      </c>
      <c r="S9" s="11">
        <v>102</v>
      </c>
      <c r="T9" s="10" t="s">
        <v>106</v>
      </c>
      <c r="U9" s="12">
        <v>45350</v>
      </c>
      <c r="V9" s="10" t="s">
        <v>36</v>
      </c>
      <c r="W9" s="11">
        <v>-126</v>
      </c>
      <c r="X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27/02/26</v>
      </c>
      <c r="Y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9" s="14" t="str">
        <f>VLOOKUP(N9,RENOVAÇÃO!A:D,4,0)</f>
        <v>TRILHA SEGURANÇA DO TRABALHO</v>
      </c>
      <c r="AA9" s="6" t="str">
        <f ca="1">CONCATENATE("• ",
    Tabela1[[#This Row],[DESCRICAO]], " - ",Tabela1[[#This Row],[STATUS_GERAL]])</f>
        <v>• NR 35 - TRABALHO EM ALTURA - EM DIA – vence em 27/02/26</v>
      </c>
    </row>
    <row r="10" spans="1:27" ht="20.399999999999999" x14ac:dyDescent="0.3">
      <c r="A10" s="7">
        <v>3</v>
      </c>
      <c r="B10" s="8" t="s">
        <v>123</v>
      </c>
      <c r="C10" s="9">
        <v>43683</v>
      </c>
      <c r="D10" s="8" t="s">
        <v>110</v>
      </c>
      <c r="E10" s="7">
        <v>5</v>
      </c>
      <c r="F10" s="8" t="s">
        <v>108</v>
      </c>
      <c r="G10" s="8" t="s">
        <v>105</v>
      </c>
      <c r="H10" s="8" t="s">
        <v>125</v>
      </c>
      <c r="I10" s="7">
        <v>134</v>
      </c>
      <c r="J10" s="7">
        <v>5076</v>
      </c>
      <c r="K10" s="8" t="s">
        <v>126</v>
      </c>
      <c r="L10" s="7">
        <v>321</v>
      </c>
      <c r="M10" s="8" t="s">
        <v>99</v>
      </c>
      <c r="N10" s="10" t="s">
        <v>45</v>
      </c>
      <c r="O10" s="10"/>
      <c r="P10" s="10" t="s">
        <v>100</v>
      </c>
      <c r="Q10" s="11">
        <v>1</v>
      </c>
      <c r="R10" s="11">
        <v>6</v>
      </c>
      <c r="S10" s="11">
        <v>80</v>
      </c>
      <c r="T10" s="10" t="s">
        <v>104</v>
      </c>
      <c r="U10" s="12">
        <v>45693</v>
      </c>
      <c r="V10" s="10" t="s">
        <v>36</v>
      </c>
      <c r="W10" s="11">
        <v>-469</v>
      </c>
      <c r="X1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05/02/27</v>
      </c>
      <c r="Y1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SIDROLÂNDIA</v>
      </c>
      <c r="Z10" s="14" t="str">
        <f>VLOOKUP(N10,RENOVAÇÃO!A:D,4,0)</f>
        <v>TRILHA SEGURANÇA DO TRABALHO</v>
      </c>
      <c r="AA10" s="6" t="str">
        <f ca="1">CONCATENATE("• ",
    Tabela1[[#This Row],[DESCRICAO]], " - ",Tabela1[[#This Row],[STATUS_GERAL]])</f>
        <v>• NR 20 - SEG. E TRAB. INFLAMÁVEIS E COMBUSTIVEIS CLASSE III - INTERMEDIÁRIO - EM DIA – vence em 05/02/27</v>
      </c>
    </row>
    <row r="11" spans="1:27" ht="20.399999999999999" x14ac:dyDescent="0.3">
      <c r="A11" s="7">
        <v>3</v>
      </c>
      <c r="B11" s="8" t="s">
        <v>123</v>
      </c>
      <c r="C11" s="9">
        <v>43683</v>
      </c>
      <c r="D11" s="8" t="s">
        <v>110</v>
      </c>
      <c r="E11" s="7">
        <v>5</v>
      </c>
      <c r="F11" s="8" t="s">
        <v>108</v>
      </c>
      <c r="G11" s="8" t="s">
        <v>105</v>
      </c>
      <c r="H11" s="8" t="s">
        <v>125</v>
      </c>
      <c r="I11" s="7">
        <v>134</v>
      </c>
      <c r="J11" s="7">
        <v>5076</v>
      </c>
      <c r="K11" s="8" t="s">
        <v>126</v>
      </c>
      <c r="L11" s="7">
        <v>319</v>
      </c>
      <c r="M11" s="8" t="s">
        <v>99</v>
      </c>
      <c r="N11" s="10" t="s">
        <v>46</v>
      </c>
      <c r="O11" s="10"/>
      <c r="P11" s="10" t="s">
        <v>100</v>
      </c>
      <c r="Q11" s="11">
        <v>1</v>
      </c>
      <c r="R11" s="11">
        <v>3</v>
      </c>
      <c r="S11" s="11">
        <v>102</v>
      </c>
      <c r="T11" s="10" t="s">
        <v>106</v>
      </c>
      <c r="U11" s="12">
        <v>45489</v>
      </c>
      <c r="V11" s="10" t="s">
        <v>5</v>
      </c>
      <c r="W11" s="11"/>
      <c r="X1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1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11" s="14" t="str">
        <f>VLOOKUP(N11,RENOVAÇÃO!A:D,4,0)</f>
        <v>TRILHA SEGURANÇA DO TRABALHO</v>
      </c>
      <c r="AA11" s="6" t="str">
        <f ca="1">CONCATENATE("• ",
    Tabela1[[#This Row],[DESCRICAO]], " - ",Tabela1[[#This Row],[STATUS_GERAL]])</f>
        <v>• NR 26 - SINALIZAÇÃO DE SEGURANÇA - EM DIA – não é necessário renovar</v>
      </c>
    </row>
    <row r="12" spans="1:27" ht="20.399999999999999" x14ac:dyDescent="0.3">
      <c r="A12" s="7">
        <v>3</v>
      </c>
      <c r="B12" s="8" t="s">
        <v>123</v>
      </c>
      <c r="C12" s="9">
        <v>43683</v>
      </c>
      <c r="D12" s="8" t="s">
        <v>110</v>
      </c>
      <c r="E12" s="7">
        <v>5</v>
      </c>
      <c r="F12" s="8" t="s">
        <v>108</v>
      </c>
      <c r="G12" s="8" t="s">
        <v>105</v>
      </c>
      <c r="H12" s="8" t="s">
        <v>125</v>
      </c>
      <c r="I12" s="7">
        <v>134</v>
      </c>
      <c r="J12" s="7">
        <v>5076</v>
      </c>
      <c r="K12" s="8" t="s">
        <v>126</v>
      </c>
      <c r="L12" s="7">
        <v>302</v>
      </c>
      <c r="M12" s="8" t="s">
        <v>99</v>
      </c>
      <c r="N12" s="10" t="s">
        <v>109</v>
      </c>
      <c r="O12" s="10"/>
      <c r="P12" s="10" t="s">
        <v>100</v>
      </c>
      <c r="Q12" s="11">
        <v>1</v>
      </c>
      <c r="R12" s="11">
        <v>3</v>
      </c>
      <c r="S12" s="11">
        <v>102</v>
      </c>
      <c r="T12" s="10" t="s">
        <v>106</v>
      </c>
      <c r="U12" s="12">
        <v>44878</v>
      </c>
      <c r="V12" s="10" t="s">
        <v>5</v>
      </c>
      <c r="W12" s="11"/>
      <c r="X1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1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12" s="14" t="str">
        <f>VLOOKUP(N12,RENOVAÇÃO!A:D,4,0)</f>
        <v>TRILHA SEGURANÇA DO TRABALHO</v>
      </c>
      <c r="AA12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13" spans="1:27" ht="20.399999999999999" x14ac:dyDescent="0.3">
      <c r="A13" s="7">
        <v>3</v>
      </c>
      <c r="B13" s="8" t="s">
        <v>123</v>
      </c>
      <c r="C13" s="9">
        <v>43683</v>
      </c>
      <c r="D13" s="8" t="s">
        <v>110</v>
      </c>
      <c r="E13" s="7">
        <v>5</v>
      </c>
      <c r="F13" s="8" t="s">
        <v>108</v>
      </c>
      <c r="G13" s="8" t="s">
        <v>105</v>
      </c>
      <c r="H13" s="8" t="s">
        <v>125</v>
      </c>
      <c r="I13" s="7">
        <v>134</v>
      </c>
      <c r="J13" s="7">
        <v>5076</v>
      </c>
      <c r="K13" s="8" t="s">
        <v>126</v>
      </c>
      <c r="L13" s="7">
        <v>300</v>
      </c>
      <c r="M13" s="8" t="s">
        <v>99</v>
      </c>
      <c r="N13" s="10" t="s">
        <v>49</v>
      </c>
      <c r="O13" s="10"/>
      <c r="P13" s="10" t="s">
        <v>100</v>
      </c>
      <c r="Q13" s="11">
        <v>1</v>
      </c>
      <c r="R13" s="11">
        <v>3</v>
      </c>
      <c r="S13" s="11">
        <v>102</v>
      </c>
      <c r="T13" s="10" t="s">
        <v>106</v>
      </c>
      <c r="U13" s="12">
        <v>45371</v>
      </c>
      <c r="V13" s="10" t="s">
        <v>36</v>
      </c>
      <c r="W13" s="11">
        <v>-147</v>
      </c>
      <c r="X1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20/03/26</v>
      </c>
      <c r="Y1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13" s="14" t="str">
        <f>VLOOKUP(N13,RENOVAÇÃO!A:D,4,0)</f>
        <v>TRILHA SEGURANÇA DO TRABALHO</v>
      </c>
      <c r="AA13" s="6" t="str">
        <f ca="1">CONCATENATE("• ",
    Tabela1[[#This Row],[DESCRICAO]], " - ",Tabela1[[#This Row],[STATUS_GERAL]])</f>
        <v>• NR 35 - TRABALHO EM ALTURA - EM DIA – vence em 20/03/26</v>
      </c>
    </row>
    <row r="14" spans="1:27" ht="20.399999999999999" x14ac:dyDescent="0.3">
      <c r="A14" s="7">
        <v>3</v>
      </c>
      <c r="B14" s="8" t="s">
        <v>123</v>
      </c>
      <c r="C14" s="9">
        <v>43683</v>
      </c>
      <c r="D14" s="8" t="s">
        <v>110</v>
      </c>
      <c r="E14" s="7">
        <v>5</v>
      </c>
      <c r="F14" s="8" t="s">
        <v>108</v>
      </c>
      <c r="G14" s="8" t="s">
        <v>105</v>
      </c>
      <c r="H14" s="8" t="s">
        <v>125</v>
      </c>
      <c r="I14" s="7">
        <v>134</v>
      </c>
      <c r="J14" s="7">
        <v>5076</v>
      </c>
      <c r="K14" s="8" t="s">
        <v>126</v>
      </c>
      <c r="L14" s="7">
        <v>295</v>
      </c>
      <c r="M14" s="8" t="s">
        <v>99</v>
      </c>
      <c r="N14" s="10" t="s">
        <v>42</v>
      </c>
      <c r="O14" s="10"/>
      <c r="P14" s="10" t="s">
        <v>100</v>
      </c>
      <c r="Q14" s="11">
        <v>1</v>
      </c>
      <c r="R14" s="11">
        <v>10</v>
      </c>
      <c r="S14" s="11">
        <v>102</v>
      </c>
      <c r="T14" s="10" t="s">
        <v>106</v>
      </c>
      <c r="U14" s="12">
        <v>45390</v>
      </c>
      <c r="V14" s="10" t="s">
        <v>13</v>
      </c>
      <c r="W14" s="11">
        <v>199</v>
      </c>
      <c r="X1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VENCIDO – 08/04/25</v>
      </c>
      <c r="Y1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LUIS EDUARDO MAGALHÃES</v>
      </c>
      <c r="Z14" s="14" t="str">
        <f>VLOOKUP(N14,RENOVAÇÃO!A:D,4,0)</f>
        <v>TRILHA SEGURANÇA DO TRABALHO</v>
      </c>
      <c r="AA14" s="6" t="str">
        <f ca="1">CONCATENATE("• ",
    Tabela1[[#This Row],[DESCRICAO]], " - ",Tabela1[[#This Row],[STATUS_GERAL]])</f>
        <v>• NR 20 - SEG. E TRAB. INFLAMÁVEIS E COMBUSTIVEIS CLASSE III - AVANÇADO - VENCIDO – 08/04/25</v>
      </c>
    </row>
    <row r="15" spans="1:27" ht="20.399999999999999" x14ac:dyDescent="0.3">
      <c r="A15" s="7">
        <v>3</v>
      </c>
      <c r="B15" s="8" t="s">
        <v>123</v>
      </c>
      <c r="C15" s="9">
        <v>43683</v>
      </c>
      <c r="D15" s="8" t="s">
        <v>110</v>
      </c>
      <c r="E15" s="7">
        <v>5</v>
      </c>
      <c r="F15" s="8" t="s">
        <v>108</v>
      </c>
      <c r="G15" s="8" t="s">
        <v>105</v>
      </c>
      <c r="H15" s="8" t="s">
        <v>125</v>
      </c>
      <c r="I15" s="7">
        <v>134</v>
      </c>
      <c r="J15" s="7">
        <v>5076</v>
      </c>
      <c r="K15" s="8" t="s">
        <v>126</v>
      </c>
      <c r="L15" s="7">
        <v>235</v>
      </c>
      <c r="M15" s="8" t="s">
        <v>99</v>
      </c>
      <c r="N15" s="10" t="s">
        <v>49</v>
      </c>
      <c r="O15" s="10"/>
      <c r="P15" s="10" t="s">
        <v>100</v>
      </c>
      <c r="Q15" s="11">
        <v>1</v>
      </c>
      <c r="R15" s="11">
        <v>1</v>
      </c>
      <c r="S15" s="11">
        <v>102</v>
      </c>
      <c r="T15" s="10" t="s">
        <v>106</v>
      </c>
      <c r="U15" s="12">
        <v>45827</v>
      </c>
      <c r="V15" s="10" t="s">
        <v>36</v>
      </c>
      <c r="W15" s="11">
        <v>-603</v>
      </c>
      <c r="X1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19/06/27</v>
      </c>
      <c r="Y1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15" s="14" t="str">
        <f>VLOOKUP(N15,RENOVAÇÃO!A:D,4,0)</f>
        <v>TRILHA SEGURANÇA DO TRABALHO</v>
      </c>
      <c r="AA15" s="6" t="str">
        <f ca="1">CONCATENATE("• ",
    Tabela1[[#This Row],[DESCRICAO]], " - ",Tabela1[[#This Row],[STATUS_GERAL]])</f>
        <v>• NR 35 - TRABALHO EM ALTURA - EM DIA – vence em 19/06/27</v>
      </c>
    </row>
    <row r="16" spans="1:27" ht="20.399999999999999" x14ac:dyDescent="0.3">
      <c r="A16" s="7">
        <v>3</v>
      </c>
      <c r="B16" s="8" t="s">
        <v>123</v>
      </c>
      <c r="C16" s="9">
        <v>43683</v>
      </c>
      <c r="D16" s="8" t="s">
        <v>110</v>
      </c>
      <c r="E16" s="7">
        <v>5</v>
      </c>
      <c r="F16" s="8" t="s">
        <v>108</v>
      </c>
      <c r="G16" s="8" t="s">
        <v>105</v>
      </c>
      <c r="H16" s="8" t="s">
        <v>125</v>
      </c>
      <c r="I16" s="7">
        <v>134</v>
      </c>
      <c r="J16" s="7">
        <v>5076</v>
      </c>
      <c r="K16" s="8" t="s">
        <v>126</v>
      </c>
      <c r="L16" s="7">
        <v>323</v>
      </c>
      <c r="M16" s="8" t="s">
        <v>99</v>
      </c>
      <c r="N16" s="10" t="s">
        <v>46</v>
      </c>
      <c r="O16" s="10"/>
      <c r="P16" s="10" t="s">
        <v>100</v>
      </c>
      <c r="Q16" s="11">
        <v>1</v>
      </c>
      <c r="R16" s="11">
        <v>1</v>
      </c>
      <c r="S16" s="11">
        <v>102</v>
      </c>
      <c r="T16" s="10" t="s">
        <v>106</v>
      </c>
      <c r="U16" s="12">
        <v>45489</v>
      </c>
      <c r="V16" s="10" t="s">
        <v>5</v>
      </c>
      <c r="W16" s="11"/>
      <c r="X1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1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16" s="14" t="str">
        <f>VLOOKUP(N16,RENOVAÇÃO!A:D,4,0)</f>
        <v>TRILHA SEGURANÇA DO TRABALHO</v>
      </c>
      <c r="AA16" s="6" t="str">
        <f ca="1">CONCATENATE("• ",
    Tabela1[[#This Row],[DESCRICAO]], " - ",Tabela1[[#This Row],[STATUS_GERAL]])</f>
        <v>• NR 26 - SINALIZAÇÃO DE SEGURANÇA - EM DIA – não é necessário renovar</v>
      </c>
    </row>
    <row r="17" spans="1:27" ht="20.399999999999999" x14ac:dyDescent="0.3">
      <c r="A17" s="7">
        <v>3</v>
      </c>
      <c r="B17" s="8" t="s">
        <v>123</v>
      </c>
      <c r="C17" s="9">
        <v>43683</v>
      </c>
      <c r="D17" s="8" t="s">
        <v>110</v>
      </c>
      <c r="E17" s="7">
        <v>5</v>
      </c>
      <c r="F17" s="8" t="s">
        <v>108</v>
      </c>
      <c r="G17" s="8" t="s">
        <v>105</v>
      </c>
      <c r="H17" s="8" t="s">
        <v>125</v>
      </c>
      <c r="I17" s="7">
        <v>134</v>
      </c>
      <c r="J17" s="7">
        <v>5076</v>
      </c>
      <c r="K17" s="8" t="s">
        <v>126</v>
      </c>
      <c r="L17" s="7">
        <v>200</v>
      </c>
      <c r="M17" s="8" t="s">
        <v>99</v>
      </c>
      <c r="N17" s="10" t="s">
        <v>48</v>
      </c>
      <c r="O17" s="10"/>
      <c r="P17" s="10" t="s">
        <v>100</v>
      </c>
      <c r="Q17" s="11">
        <v>1</v>
      </c>
      <c r="R17" s="11">
        <v>3</v>
      </c>
      <c r="S17" s="11">
        <v>114</v>
      </c>
      <c r="T17" s="10" t="s">
        <v>101</v>
      </c>
      <c r="U17" s="12">
        <v>45911</v>
      </c>
      <c r="V17" s="10" t="s">
        <v>13</v>
      </c>
      <c r="W17" s="11">
        <v>-322</v>
      </c>
      <c r="X1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11/09/26</v>
      </c>
      <c r="Y1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17" s="14" t="str">
        <f>VLOOKUP(N17,RENOVAÇÃO!A:D,4,0)</f>
        <v>TRILHA SEGURANÇA DO TRABALHO</v>
      </c>
      <c r="AA17" s="6" t="str">
        <f ca="1">CONCATENATE("• ",
    Tabela1[[#This Row],[DESCRICAO]], " - ",Tabela1[[#This Row],[STATUS_GERAL]])</f>
        <v>• NR 33 - SEGURANÇA E SAUDE NOS TRABALHOS EM ESPAÇOS CONFINADOS - VIGIA E TRABALHADOR - EM DIA – vence em 11/09/26</v>
      </c>
    </row>
    <row r="18" spans="1:27" ht="20.399999999999999" x14ac:dyDescent="0.3">
      <c r="A18" s="7">
        <v>3</v>
      </c>
      <c r="B18" s="8" t="s">
        <v>123</v>
      </c>
      <c r="C18" s="9">
        <v>43683</v>
      </c>
      <c r="D18" s="8" t="s">
        <v>110</v>
      </c>
      <c r="E18" s="7">
        <v>5</v>
      </c>
      <c r="F18" s="8" t="s">
        <v>108</v>
      </c>
      <c r="G18" s="8" t="s">
        <v>105</v>
      </c>
      <c r="H18" s="8" t="s">
        <v>125</v>
      </c>
      <c r="I18" s="7">
        <v>134</v>
      </c>
      <c r="J18" s="7">
        <v>5076</v>
      </c>
      <c r="K18" s="8" t="s">
        <v>126</v>
      </c>
      <c r="L18" s="7">
        <v>320</v>
      </c>
      <c r="M18" s="8" t="s">
        <v>99</v>
      </c>
      <c r="N18" s="10" t="s">
        <v>39</v>
      </c>
      <c r="O18" s="10"/>
      <c r="P18" s="10" t="s">
        <v>100</v>
      </c>
      <c r="Q18" s="11">
        <v>1</v>
      </c>
      <c r="R18" s="11">
        <v>1</v>
      </c>
      <c r="S18" s="11">
        <v>80</v>
      </c>
      <c r="T18" s="10" t="s">
        <v>104</v>
      </c>
      <c r="U18" s="12">
        <v>44887</v>
      </c>
      <c r="V18" s="10" t="s">
        <v>36</v>
      </c>
      <c r="W18" s="11">
        <v>337</v>
      </c>
      <c r="X1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VENCIDO – 21/11/24</v>
      </c>
      <c r="Y1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18" s="14" t="str">
        <f>VLOOKUP(N18,RENOVAÇÃO!A:D,4,0)</f>
        <v>TRILHA SEGURANÇA DO TRABALHO</v>
      </c>
      <c r="AA18" s="6" t="str">
        <f ca="1">CONCATENATE("• ",
    Tabela1[[#This Row],[DESCRICAO]], " - ",Tabela1[[#This Row],[STATUS_GERAL]])</f>
        <v>• NR 11 - OPERAÇÃO DE TALHAS E PONTE ROLANTE - VENCIDO – 21/11/24</v>
      </c>
    </row>
    <row r="19" spans="1:27" ht="20.399999999999999" x14ac:dyDescent="0.3">
      <c r="A19" s="7">
        <v>3</v>
      </c>
      <c r="B19" s="8" t="s">
        <v>123</v>
      </c>
      <c r="C19" s="9">
        <v>43683</v>
      </c>
      <c r="D19" s="8" t="s">
        <v>110</v>
      </c>
      <c r="E19" s="7">
        <v>5</v>
      </c>
      <c r="F19" s="8" t="s">
        <v>108</v>
      </c>
      <c r="G19" s="8" t="s">
        <v>105</v>
      </c>
      <c r="H19" s="8" t="s">
        <v>125</v>
      </c>
      <c r="I19" s="7">
        <v>134</v>
      </c>
      <c r="J19" s="7">
        <v>5076</v>
      </c>
      <c r="K19" s="8" t="s">
        <v>126</v>
      </c>
      <c r="L19" s="7">
        <v>129</v>
      </c>
      <c r="M19" s="8" t="s">
        <v>99</v>
      </c>
      <c r="N19" s="10" t="s">
        <v>41</v>
      </c>
      <c r="O19" s="10"/>
      <c r="P19" s="10" t="s">
        <v>100</v>
      </c>
      <c r="Q19" s="11">
        <v>1</v>
      </c>
      <c r="R19" s="11">
        <v>1</v>
      </c>
      <c r="S19" s="11">
        <v>102</v>
      </c>
      <c r="T19" s="10" t="s">
        <v>106</v>
      </c>
      <c r="U19" s="12">
        <v>44608</v>
      </c>
      <c r="V19" s="10" t="s">
        <v>5</v>
      </c>
      <c r="W19" s="11"/>
      <c r="X1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1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19" s="14" t="str">
        <f>VLOOKUP(N19,RENOVAÇÃO!A:D,4,0)</f>
        <v>TRILHA SEGURANÇA DO TRABALHO</v>
      </c>
      <c r="AA19" s="6" t="str">
        <f ca="1">CONCATENATE("• ",
    Tabela1[[#This Row],[DESCRICAO]], " - ",Tabela1[[#This Row],[STATUS_GERAL]])</f>
        <v>• NR 13 - SEGURANÇA NA OPERAÇÃO VASOS DE PRESSÃO - EM DIA – não é necessário renovar</v>
      </c>
    </row>
    <row r="20" spans="1:27" ht="20.399999999999999" x14ac:dyDescent="0.3">
      <c r="A20" s="7">
        <v>3</v>
      </c>
      <c r="B20" s="8" t="s">
        <v>123</v>
      </c>
      <c r="C20" s="9">
        <v>43683</v>
      </c>
      <c r="D20" s="8" t="s">
        <v>110</v>
      </c>
      <c r="E20" s="7">
        <v>5</v>
      </c>
      <c r="F20" s="8" t="s">
        <v>108</v>
      </c>
      <c r="G20" s="8" t="s">
        <v>105</v>
      </c>
      <c r="H20" s="8" t="s">
        <v>125</v>
      </c>
      <c r="I20" s="7">
        <v>134</v>
      </c>
      <c r="J20" s="7">
        <v>5076</v>
      </c>
      <c r="K20" s="8" t="s">
        <v>126</v>
      </c>
      <c r="L20" s="7">
        <v>322</v>
      </c>
      <c r="M20" s="8" t="s">
        <v>99</v>
      </c>
      <c r="N20" s="10" t="s">
        <v>46</v>
      </c>
      <c r="O20" s="10"/>
      <c r="P20" s="10" t="s">
        <v>100</v>
      </c>
      <c r="Q20" s="11">
        <v>1</v>
      </c>
      <c r="R20" s="11">
        <v>1</v>
      </c>
      <c r="S20" s="11">
        <v>102</v>
      </c>
      <c r="T20" s="10" t="s">
        <v>106</v>
      </c>
      <c r="U20" s="12">
        <v>45489</v>
      </c>
      <c r="V20" s="10" t="s">
        <v>5</v>
      </c>
      <c r="W20" s="11"/>
      <c r="X2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2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0" s="14" t="str">
        <f>VLOOKUP(N20,RENOVAÇÃO!A:D,4,0)</f>
        <v>TRILHA SEGURANÇA DO TRABALHO</v>
      </c>
      <c r="AA20" s="6" t="str">
        <f ca="1">CONCATENATE("• ",
    Tabela1[[#This Row],[DESCRICAO]], " - ",Tabela1[[#This Row],[STATUS_GERAL]])</f>
        <v>• NR 26 - SINALIZAÇÃO DE SEGURANÇA - EM DIA – não é necessário renovar</v>
      </c>
    </row>
    <row r="21" spans="1:27" ht="20.399999999999999" x14ac:dyDescent="0.3">
      <c r="A21" s="7">
        <v>3</v>
      </c>
      <c r="B21" s="8" t="s">
        <v>123</v>
      </c>
      <c r="C21" s="9">
        <v>43683</v>
      </c>
      <c r="D21" s="8" t="s">
        <v>110</v>
      </c>
      <c r="E21" s="7">
        <v>5</v>
      </c>
      <c r="F21" s="8" t="s">
        <v>108</v>
      </c>
      <c r="G21" s="8" t="s">
        <v>105</v>
      </c>
      <c r="H21" s="8" t="s">
        <v>125</v>
      </c>
      <c r="I21" s="7">
        <v>134</v>
      </c>
      <c r="J21" s="7">
        <v>5076</v>
      </c>
      <c r="K21" s="8" t="s">
        <v>126</v>
      </c>
      <c r="L21" s="7">
        <v>271</v>
      </c>
      <c r="M21" s="8" t="s">
        <v>99</v>
      </c>
      <c r="N21" s="10" t="s">
        <v>43</v>
      </c>
      <c r="O21" s="10"/>
      <c r="P21" s="10" t="s">
        <v>100</v>
      </c>
      <c r="Q21" s="11">
        <v>1</v>
      </c>
      <c r="R21" s="11">
        <v>3</v>
      </c>
      <c r="S21" s="11">
        <v>102</v>
      </c>
      <c r="T21" s="10" t="s">
        <v>106</v>
      </c>
      <c r="U21" s="12">
        <v>45502</v>
      </c>
      <c r="V21" s="10" t="s">
        <v>44</v>
      </c>
      <c r="W21" s="11">
        <v>-643</v>
      </c>
      <c r="X2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29/07/27</v>
      </c>
      <c r="Y2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21" s="14" t="str">
        <f>VLOOKUP(N21,RENOVAÇÃO!A:D,4,0)</f>
        <v>TRILHA SEGURANÇA DO TRABALHO</v>
      </c>
      <c r="AA21" s="6" t="str">
        <f ca="1">CONCATENATE("• ",
    Tabela1[[#This Row],[DESCRICAO]], " - ",Tabela1[[#This Row],[STATUS_GERAL]])</f>
        <v>• NR 20 - SEG. E TRAB. INFLAMÁVEIS E COMBUSTIVEIS CLASSE III - BASICO - EM DIA – vence em 29/07/27</v>
      </c>
    </row>
    <row r="22" spans="1:27" ht="20.399999999999999" x14ac:dyDescent="0.3">
      <c r="A22" s="7">
        <v>3</v>
      </c>
      <c r="B22" s="8" t="s">
        <v>123</v>
      </c>
      <c r="C22" s="9">
        <v>43683</v>
      </c>
      <c r="D22" s="8" t="s">
        <v>110</v>
      </c>
      <c r="E22" s="7">
        <v>5</v>
      </c>
      <c r="F22" s="8" t="s">
        <v>108</v>
      </c>
      <c r="G22" s="8" t="s">
        <v>105</v>
      </c>
      <c r="H22" s="8" t="s">
        <v>125</v>
      </c>
      <c r="I22" s="7">
        <v>134</v>
      </c>
      <c r="J22" s="7">
        <v>5076</v>
      </c>
      <c r="K22" s="8" t="s">
        <v>126</v>
      </c>
      <c r="L22" s="7">
        <v>82</v>
      </c>
      <c r="M22" s="8" t="s">
        <v>99</v>
      </c>
      <c r="N22" s="10" t="s">
        <v>111</v>
      </c>
      <c r="O22" s="10"/>
      <c r="P22" s="10" t="s">
        <v>100</v>
      </c>
      <c r="Q22" s="11">
        <v>1</v>
      </c>
      <c r="R22" s="11">
        <v>6</v>
      </c>
      <c r="S22" s="11">
        <v>80</v>
      </c>
      <c r="T22" s="10" t="s">
        <v>104</v>
      </c>
      <c r="U22" s="12">
        <v>45870</v>
      </c>
      <c r="V22" s="10" t="s">
        <v>36</v>
      </c>
      <c r="W22" s="11">
        <v>-646</v>
      </c>
      <c r="X2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01/08/27</v>
      </c>
      <c r="Y2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SIDROLÂNDIA</v>
      </c>
      <c r="Z22" s="14" t="str">
        <f>VLOOKUP(N22,RENOVAÇÃO!A:D,4,0)</f>
        <v>TRILHA SEGURANÇA DO TRABALHO</v>
      </c>
      <c r="AA22" s="6" t="str">
        <f ca="1">CONCATENATE("• ",
    Tabela1[[#This Row],[DESCRICAO]], " - ",Tabela1[[#This Row],[STATUS_GERAL]])</f>
        <v>• NR 10 - SEGURANÇA EM INSTALAÇÕES E SERVIÇOS EM ELETRICIDADE ( BASÍCO) - EM DIA – vence em 01/08/27</v>
      </c>
    </row>
    <row r="23" spans="1:27" ht="20.399999999999999" x14ac:dyDescent="0.3">
      <c r="A23" s="7">
        <v>3</v>
      </c>
      <c r="B23" s="8" t="s">
        <v>123</v>
      </c>
      <c r="C23" s="9">
        <v>43683</v>
      </c>
      <c r="D23" s="8" t="s">
        <v>110</v>
      </c>
      <c r="E23" s="7">
        <v>5</v>
      </c>
      <c r="F23" s="8" t="s">
        <v>108</v>
      </c>
      <c r="G23" s="8" t="s">
        <v>105</v>
      </c>
      <c r="H23" s="8" t="s">
        <v>125</v>
      </c>
      <c r="I23" s="7">
        <v>134</v>
      </c>
      <c r="J23" s="7">
        <v>5076</v>
      </c>
      <c r="K23" s="8" t="s">
        <v>126</v>
      </c>
      <c r="L23" s="7">
        <v>104</v>
      </c>
      <c r="M23" s="8" t="s">
        <v>99</v>
      </c>
      <c r="N23" s="10" t="s">
        <v>109</v>
      </c>
      <c r="O23" s="10"/>
      <c r="P23" s="10" t="s">
        <v>100</v>
      </c>
      <c r="Q23" s="11">
        <v>1</v>
      </c>
      <c r="R23" s="11">
        <v>1</v>
      </c>
      <c r="S23" s="11">
        <v>114</v>
      </c>
      <c r="T23" s="10" t="s">
        <v>101</v>
      </c>
      <c r="U23" s="12">
        <v>44582</v>
      </c>
      <c r="V23" s="10" t="s">
        <v>5</v>
      </c>
      <c r="W23" s="11"/>
      <c r="X2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2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3" s="14" t="str">
        <f>VLOOKUP(N23,RENOVAÇÃO!A:D,4,0)</f>
        <v>TRILHA SEGURANÇA DO TRABALHO</v>
      </c>
      <c r="AA23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24" spans="1:27" ht="20.399999999999999" x14ac:dyDescent="0.3">
      <c r="A24" s="7">
        <v>3</v>
      </c>
      <c r="B24" s="8" t="s">
        <v>123</v>
      </c>
      <c r="C24" s="9">
        <v>43683</v>
      </c>
      <c r="D24" s="8" t="s">
        <v>110</v>
      </c>
      <c r="E24" s="7">
        <v>5</v>
      </c>
      <c r="F24" s="8" t="s">
        <v>108</v>
      </c>
      <c r="G24" s="8" t="s">
        <v>105</v>
      </c>
      <c r="H24" s="8" t="s">
        <v>125</v>
      </c>
      <c r="I24" s="7">
        <v>134</v>
      </c>
      <c r="J24" s="7">
        <v>5076</v>
      </c>
      <c r="K24" s="8" t="s">
        <v>126</v>
      </c>
      <c r="L24" s="7">
        <v>2</v>
      </c>
      <c r="M24" s="8" t="s">
        <v>99</v>
      </c>
      <c r="N24" s="10" t="s">
        <v>49</v>
      </c>
      <c r="O24" s="10"/>
      <c r="P24" s="10" t="s">
        <v>100</v>
      </c>
      <c r="Q24" s="11">
        <v>1</v>
      </c>
      <c r="R24" s="11">
        <v>1</v>
      </c>
      <c r="S24" s="11">
        <v>102</v>
      </c>
      <c r="T24" s="10" t="s">
        <v>106</v>
      </c>
      <c r="U24" s="12">
        <v>45374</v>
      </c>
      <c r="V24" s="10" t="s">
        <v>36</v>
      </c>
      <c r="W24" s="11">
        <v>-150</v>
      </c>
      <c r="X2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23/03/26</v>
      </c>
      <c r="Y2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4" s="14" t="str">
        <f>VLOOKUP(N24,RENOVAÇÃO!A:D,4,0)</f>
        <v>TRILHA SEGURANÇA DO TRABALHO</v>
      </c>
      <c r="AA24" s="6" t="str">
        <f ca="1">CONCATENATE("• ",
    Tabela1[[#This Row],[DESCRICAO]], " - ",Tabela1[[#This Row],[STATUS_GERAL]])</f>
        <v>• NR 35 - TRABALHO EM ALTURA - EM DIA – vence em 23/03/26</v>
      </c>
    </row>
    <row r="25" spans="1:27" x14ac:dyDescent="0.3">
      <c r="A25" s="7">
        <v>1</v>
      </c>
      <c r="B25" s="8" t="s">
        <v>121</v>
      </c>
      <c r="C25" s="9">
        <v>43570</v>
      </c>
      <c r="D25" s="8" t="s">
        <v>110</v>
      </c>
      <c r="E25" s="7">
        <v>5</v>
      </c>
      <c r="F25" s="8" t="s">
        <v>108</v>
      </c>
      <c r="G25" s="8" t="s">
        <v>105</v>
      </c>
      <c r="H25" s="8" t="s">
        <v>125</v>
      </c>
      <c r="I25" s="7">
        <v>172</v>
      </c>
      <c r="J25" s="7">
        <v>5058</v>
      </c>
      <c r="K25" s="8" t="s">
        <v>126</v>
      </c>
      <c r="L25" s="7">
        <v>317</v>
      </c>
      <c r="M25" s="8" t="s">
        <v>99</v>
      </c>
      <c r="N25" s="10" t="s">
        <v>49</v>
      </c>
      <c r="O25" s="10"/>
      <c r="P25" s="10" t="s">
        <v>100</v>
      </c>
      <c r="Q25" s="11">
        <v>1</v>
      </c>
      <c r="R25" s="11">
        <v>1</v>
      </c>
      <c r="S25" s="11">
        <v>114</v>
      </c>
      <c r="T25" s="10" t="s">
        <v>101</v>
      </c>
      <c r="U25" s="12">
        <v>45405</v>
      </c>
      <c r="V25" s="10" t="s">
        <v>36</v>
      </c>
      <c r="W25" s="11">
        <v>-181</v>
      </c>
      <c r="X2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23/04/26</v>
      </c>
      <c r="Y2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5" s="14" t="str">
        <f>VLOOKUP(N25,RENOVAÇÃO!A:D,4,0)</f>
        <v>TRILHA SEGURANÇA DO TRABALHO</v>
      </c>
      <c r="AA25" s="6" t="str">
        <f ca="1">CONCATENATE("• ",
    Tabela1[[#This Row],[DESCRICAO]], " - ",Tabela1[[#This Row],[STATUS_GERAL]])</f>
        <v>• NR 35 - TRABALHO EM ALTURA - EM DIA – vence em 23/04/26</v>
      </c>
    </row>
    <row r="26" spans="1:27" ht="20.399999999999999" x14ac:dyDescent="0.3">
      <c r="A26" s="7">
        <v>1</v>
      </c>
      <c r="B26" s="8" t="s">
        <v>121</v>
      </c>
      <c r="C26" s="9">
        <v>43570</v>
      </c>
      <c r="D26" s="8" t="s">
        <v>110</v>
      </c>
      <c r="E26" s="7">
        <v>5</v>
      </c>
      <c r="F26" s="8" t="s">
        <v>108</v>
      </c>
      <c r="G26" s="8" t="s">
        <v>105</v>
      </c>
      <c r="H26" s="8" t="s">
        <v>125</v>
      </c>
      <c r="I26" s="7">
        <v>172</v>
      </c>
      <c r="J26" s="7">
        <v>5058</v>
      </c>
      <c r="K26" s="8" t="s">
        <v>126</v>
      </c>
      <c r="L26" s="7">
        <v>271</v>
      </c>
      <c r="M26" s="8" t="s">
        <v>99</v>
      </c>
      <c r="N26" s="10" t="s">
        <v>43</v>
      </c>
      <c r="O26" s="10"/>
      <c r="P26" s="10" t="s">
        <v>100</v>
      </c>
      <c r="Q26" s="11">
        <v>1</v>
      </c>
      <c r="R26" s="11">
        <v>1</v>
      </c>
      <c r="S26" s="11">
        <v>117</v>
      </c>
      <c r="T26" s="10" t="s">
        <v>103</v>
      </c>
      <c r="U26" s="12">
        <v>45875</v>
      </c>
      <c r="V26" s="10" t="s">
        <v>44</v>
      </c>
      <c r="W26" s="11">
        <v>-1016</v>
      </c>
      <c r="X2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05/08/28</v>
      </c>
      <c r="Y2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6" s="14" t="str">
        <f>VLOOKUP(N26,RENOVAÇÃO!A:D,4,0)</f>
        <v>TRILHA SEGURANÇA DO TRABALHO</v>
      </c>
      <c r="AA26" s="6" t="str">
        <f ca="1">CONCATENATE("• ",
    Tabela1[[#This Row],[DESCRICAO]], " - ",Tabela1[[#This Row],[STATUS_GERAL]])</f>
        <v>• NR 20 - SEG. E TRAB. INFLAMÁVEIS E COMBUSTIVEIS CLASSE III - BASICO - EM DIA – vence em 05/08/28</v>
      </c>
    </row>
    <row r="27" spans="1:27" ht="20.399999999999999" x14ac:dyDescent="0.3">
      <c r="A27" s="7">
        <v>1</v>
      </c>
      <c r="B27" s="8" t="s">
        <v>121</v>
      </c>
      <c r="C27" s="9">
        <v>43570</v>
      </c>
      <c r="D27" s="8" t="s">
        <v>110</v>
      </c>
      <c r="E27" s="7">
        <v>5</v>
      </c>
      <c r="F27" s="8" t="s">
        <v>108</v>
      </c>
      <c r="G27" s="8" t="s">
        <v>105</v>
      </c>
      <c r="H27" s="8" t="s">
        <v>125</v>
      </c>
      <c r="I27" s="7">
        <v>172</v>
      </c>
      <c r="J27" s="7">
        <v>5058</v>
      </c>
      <c r="K27" s="8" t="s">
        <v>126</v>
      </c>
      <c r="L27" s="7">
        <v>200</v>
      </c>
      <c r="M27" s="8" t="s">
        <v>99</v>
      </c>
      <c r="N27" s="10" t="s">
        <v>109</v>
      </c>
      <c r="O27" s="10"/>
      <c r="P27" s="10" t="s">
        <v>100</v>
      </c>
      <c r="Q27" s="11">
        <v>1</v>
      </c>
      <c r="R27" s="11">
        <v>1</v>
      </c>
      <c r="S27" s="11">
        <v>102</v>
      </c>
      <c r="T27" s="10" t="s">
        <v>106</v>
      </c>
      <c r="U27" s="12">
        <v>44883</v>
      </c>
      <c r="V27" s="10" t="s">
        <v>5</v>
      </c>
      <c r="W27" s="11"/>
      <c r="X2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2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7" s="14" t="str">
        <f>VLOOKUP(N27,RENOVAÇÃO!A:D,4,0)</f>
        <v>TRILHA SEGURANÇA DO TRABALHO</v>
      </c>
      <c r="AA27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28" spans="1:27" ht="20.399999999999999" x14ac:dyDescent="0.3">
      <c r="A28" s="7">
        <v>1</v>
      </c>
      <c r="B28" s="8" t="s">
        <v>121</v>
      </c>
      <c r="C28" s="9">
        <v>43570</v>
      </c>
      <c r="D28" s="8" t="s">
        <v>110</v>
      </c>
      <c r="E28" s="7">
        <v>5</v>
      </c>
      <c r="F28" s="8" t="s">
        <v>108</v>
      </c>
      <c r="G28" s="8" t="s">
        <v>105</v>
      </c>
      <c r="H28" s="8" t="s">
        <v>125</v>
      </c>
      <c r="I28" s="7">
        <v>172</v>
      </c>
      <c r="J28" s="7">
        <v>5058</v>
      </c>
      <c r="K28" s="8" t="s">
        <v>126</v>
      </c>
      <c r="L28" s="7">
        <v>1</v>
      </c>
      <c r="M28" s="8" t="s">
        <v>99</v>
      </c>
      <c r="N28" s="10" t="s">
        <v>49</v>
      </c>
      <c r="O28" s="10"/>
      <c r="P28" s="10" t="s">
        <v>100</v>
      </c>
      <c r="Q28" s="11">
        <v>1</v>
      </c>
      <c r="R28" s="11">
        <v>1</v>
      </c>
      <c r="S28" s="11">
        <v>80</v>
      </c>
      <c r="T28" s="10" t="s">
        <v>104</v>
      </c>
      <c r="U28" s="12">
        <v>45349</v>
      </c>
      <c r="V28" s="10" t="s">
        <v>36</v>
      </c>
      <c r="W28" s="11">
        <v>-125</v>
      </c>
      <c r="X2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26/02/26</v>
      </c>
      <c r="Y2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8" s="14" t="str">
        <f>VLOOKUP(N28,RENOVAÇÃO!A:D,4,0)</f>
        <v>TRILHA SEGURANÇA DO TRABALHO</v>
      </c>
      <c r="AA28" s="6" t="str">
        <f ca="1">CONCATENATE("• ",
    Tabela1[[#This Row],[DESCRICAO]], " - ",Tabela1[[#This Row],[STATUS_GERAL]])</f>
        <v>• NR 35 - TRABALHO EM ALTURA - EM DIA – vence em 26/02/26</v>
      </c>
    </row>
    <row r="29" spans="1:27" x14ac:dyDescent="0.3">
      <c r="A29" s="7">
        <v>1</v>
      </c>
      <c r="B29" s="8" t="s">
        <v>121</v>
      </c>
      <c r="C29" s="9">
        <v>43570</v>
      </c>
      <c r="D29" s="8" t="s">
        <v>110</v>
      </c>
      <c r="E29" s="7">
        <v>5</v>
      </c>
      <c r="F29" s="8" t="s">
        <v>108</v>
      </c>
      <c r="G29" s="8" t="s">
        <v>105</v>
      </c>
      <c r="H29" s="8" t="s">
        <v>125</v>
      </c>
      <c r="I29" s="7">
        <v>172</v>
      </c>
      <c r="J29" s="7">
        <v>5058</v>
      </c>
      <c r="K29" s="8" t="s">
        <v>126</v>
      </c>
      <c r="L29" s="7">
        <v>262</v>
      </c>
      <c r="M29" s="8" t="s">
        <v>99</v>
      </c>
      <c r="N29" s="10" t="s">
        <v>49</v>
      </c>
      <c r="O29" s="10"/>
      <c r="P29" s="10" t="s">
        <v>100</v>
      </c>
      <c r="Q29" s="11">
        <v>1</v>
      </c>
      <c r="R29" s="11">
        <v>1</v>
      </c>
      <c r="S29" s="11">
        <v>114</v>
      </c>
      <c r="T29" s="10" t="s">
        <v>101</v>
      </c>
      <c r="U29" s="12">
        <v>45349</v>
      </c>
      <c r="V29" s="10" t="s">
        <v>36</v>
      </c>
      <c r="W29" s="11">
        <v>-125</v>
      </c>
      <c r="X2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26/02/26</v>
      </c>
      <c r="Y2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29" s="14" t="str">
        <f>VLOOKUP(N29,RENOVAÇÃO!A:D,4,0)</f>
        <v>TRILHA SEGURANÇA DO TRABALHO</v>
      </c>
      <c r="AA29" s="6" t="str">
        <f ca="1">CONCATENATE("• ",
    Tabela1[[#This Row],[DESCRICAO]], " - ",Tabela1[[#This Row],[STATUS_GERAL]])</f>
        <v>• NR 35 - TRABALHO EM ALTURA - EM DIA – vence em 26/02/26</v>
      </c>
    </row>
    <row r="30" spans="1:27" ht="20.399999999999999" x14ac:dyDescent="0.3">
      <c r="A30" s="7">
        <v>1</v>
      </c>
      <c r="B30" s="8" t="s">
        <v>121</v>
      </c>
      <c r="C30" s="9">
        <v>43570</v>
      </c>
      <c r="D30" s="8" t="s">
        <v>110</v>
      </c>
      <c r="E30" s="7">
        <v>5</v>
      </c>
      <c r="F30" s="8" t="s">
        <v>108</v>
      </c>
      <c r="G30" s="8" t="s">
        <v>105</v>
      </c>
      <c r="H30" s="8" t="s">
        <v>125</v>
      </c>
      <c r="I30" s="7">
        <v>172</v>
      </c>
      <c r="J30" s="7">
        <v>5058</v>
      </c>
      <c r="K30" s="8" t="s">
        <v>126</v>
      </c>
      <c r="L30" s="7">
        <v>28</v>
      </c>
      <c r="M30" s="8" t="s">
        <v>99</v>
      </c>
      <c r="N30" s="10" t="s">
        <v>40</v>
      </c>
      <c r="O30" s="10"/>
      <c r="P30" s="10" t="s">
        <v>100</v>
      </c>
      <c r="Q30" s="11">
        <v>1</v>
      </c>
      <c r="R30" s="11">
        <v>1</v>
      </c>
      <c r="S30" s="11">
        <v>102</v>
      </c>
      <c r="T30" s="10" t="s">
        <v>106</v>
      </c>
      <c r="U30" s="12">
        <v>45042</v>
      </c>
      <c r="V30" s="10" t="s">
        <v>5</v>
      </c>
      <c r="W30" s="11"/>
      <c r="X3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3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0" s="14" t="str">
        <f>VLOOKUP(N30,RENOVAÇÃO!A:D,4,0)</f>
        <v>TRILHA SEGURANÇA DO TRABALHO</v>
      </c>
      <c r="AA30" s="6" t="str">
        <f ca="1">CONCATENATE("• ",
    Tabela1[[#This Row],[DESCRICAO]], " - ",Tabela1[[#This Row],[STATUS_GERAL]])</f>
        <v>• NR 13 - SEGURANÇA NA OPERAÇÃO DE CALDEIRAS - EM DIA – não é necessário renovar</v>
      </c>
    </row>
    <row r="31" spans="1:27" ht="20.399999999999999" x14ac:dyDescent="0.3">
      <c r="A31" s="7">
        <v>1</v>
      </c>
      <c r="B31" s="8" t="s">
        <v>121</v>
      </c>
      <c r="C31" s="9">
        <v>43570</v>
      </c>
      <c r="D31" s="8" t="s">
        <v>110</v>
      </c>
      <c r="E31" s="7">
        <v>5</v>
      </c>
      <c r="F31" s="8" t="s">
        <v>108</v>
      </c>
      <c r="G31" s="8" t="s">
        <v>105</v>
      </c>
      <c r="H31" s="8" t="s">
        <v>125</v>
      </c>
      <c r="I31" s="7">
        <v>172</v>
      </c>
      <c r="J31" s="7">
        <v>5058</v>
      </c>
      <c r="K31" s="8" t="s">
        <v>126</v>
      </c>
      <c r="L31" s="7">
        <v>11</v>
      </c>
      <c r="M31" s="8" t="s">
        <v>99</v>
      </c>
      <c r="N31" s="10" t="s">
        <v>109</v>
      </c>
      <c r="O31" s="10"/>
      <c r="P31" s="10" t="s">
        <v>100</v>
      </c>
      <c r="Q31" s="11">
        <v>1</v>
      </c>
      <c r="R31" s="11">
        <v>1</v>
      </c>
      <c r="S31" s="11">
        <v>102</v>
      </c>
      <c r="T31" s="10" t="s">
        <v>106</v>
      </c>
      <c r="U31" s="12">
        <v>45125</v>
      </c>
      <c r="V31" s="10" t="s">
        <v>5</v>
      </c>
      <c r="W31" s="11"/>
      <c r="X3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3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1" s="14" t="str">
        <f>VLOOKUP(N31,RENOVAÇÃO!A:D,4,0)</f>
        <v>TRILHA SEGURANÇA DO TRABALHO</v>
      </c>
      <c r="AA31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32" spans="1:27" ht="20.399999999999999" x14ac:dyDescent="0.3">
      <c r="A32" s="7">
        <v>1</v>
      </c>
      <c r="B32" s="8" t="s">
        <v>121</v>
      </c>
      <c r="C32" s="9">
        <v>43570</v>
      </c>
      <c r="D32" s="8" t="s">
        <v>110</v>
      </c>
      <c r="E32" s="7">
        <v>5</v>
      </c>
      <c r="F32" s="8" t="s">
        <v>108</v>
      </c>
      <c r="G32" s="8" t="s">
        <v>105</v>
      </c>
      <c r="H32" s="8" t="s">
        <v>125</v>
      </c>
      <c r="I32" s="7">
        <v>172</v>
      </c>
      <c r="J32" s="7">
        <v>5058</v>
      </c>
      <c r="K32" s="8" t="s">
        <v>126</v>
      </c>
      <c r="L32" s="7">
        <v>26</v>
      </c>
      <c r="M32" s="8" t="s">
        <v>99</v>
      </c>
      <c r="N32" s="10" t="s">
        <v>111</v>
      </c>
      <c r="O32" s="10"/>
      <c r="P32" s="10" t="s">
        <v>100</v>
      </c>
      <c r="Q32" s="11">
        <v>1</v>
      </c>
      <c r="R32" s="11">
        <v>2</v>
      </c>
      <c r="S32" s="11">
        <v>80</v>
      </c>
      <c r="T32" s="10" t="s">
        <v>104</v>
      </c>
      <c r="U32" s="12">
        <v>45401</v>
      </c>
      <c r="V32" s="10" t="s">
        <v>36</v>
      </c>
      <c r="W32" s="11">
        <v>-177</v>
      </c>
      <c r="X3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19/04/26</v>
      </c>
      <c r="Y3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DOURADOS</v>
      </c>
      <c r="Z32" s="14" t="str">
        <f>VLOOKUP(N32,RENOVAÇÃO!A:D,4,0)</f>
        <v>TRILHA SEGURANÇA DO TRABALHO</v>
      </c>
      <c r="AA32" s="6" t="str">
        <f ca="1">CONCATENATE("• ",
    Tabela1[[#This Row],[DESCRICAO]], " - ",Tabela1[[#This Row],[STATUS_GERAL]])</f>
        <v>• NR 10 - SEGURANÇA EM INSTALAÇÕES E SERVIÇOS EM ELETRICIDADE ( BASÍCO) - EM DIA – vence em 19/04/26</v>
      </c>
    </row>
    <row r="33" spans="1:27" x14ac:dyDescent="0.3">
      <c r="A33" s="7">
        <v>1</v>
      </c>
      <c r="B33" s="8" t="s">
        <v>121</v>
      </c>
      <c r="C33" s="9">
        <v>43570</v>
      </c>
      <c r="D33" s="8" t="s">
        <v>110</v>
      </c>
      <c r="E33" s="7">
        <v>5</v>
      </c>
      <c r="F33" s="8" t="s">
        <v>108</v>
      </c>
      <c r="G33" s="8" t="s">
        <v>105</v>
      </c>
      <c r="H33" s="8" t="s">
        <v>125</v>
      </c>
      <c r="I33" s="7">
        <v>172</v>
      </c>
      <c r="J33" s="7">
        <v>5058</v>
      </c>
      <c r="K33" s="8" t="s">
        <v>126</v>
      </c>
      <c r="L33" s="7">
        <v>8</v>
      </c>
      <c r="M33" s="8" t="s">
        <v>99</v>
      </c>
      <c r="N33" s="10" t="s">
        <v>21</v>
      </c>
      <c r="O33" s="10"/>
      <c r="P33" s="10" t="s">
        <v>100</v>
      </c>
      <c r="Q33" s="11">
        <v>1</v>
      </c>
      <c r="R33" s="11">
        <v>3</v>
      </c>
      <c r="S33" s="11">
        <v>113</v>
      </c>
      <c r="T33" s="10" t="s">
        <v>107</v>
      </c>
      <c r="U33" s="12">
        <v>44568</v>
      </c>
      <c r="V33" s="10" t="s">
        <v>5</v>
      </c>
      <c r="W33" s="11"/>
      <c r="X3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3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33" s="14" t="str">
        <f>VLOOKUP(N33,RENOVAÇÃO!A:D,4,0)</f>
        <v>TRILHA SEGURANÇA DO TRABALHO</v>
      </c>
      <c r="AA33" s="6" t="str">
        <f ca="1">CONCATENATE("• ",
    Tabela1[[#This Row],[DESCRICAO]], " - ",Tabela1[[#This Row],[STATUS_GERAL]])</f>
        <v>• DIREÇÃO DEFENSIVA - TEÓRICO - EM DIA – não é necessário renovar</v>
      </c>
    </row>
    <row r="34" spans="1:27" ht="20.399999999999999" x14ac:dyDescent="0.3">
      <c r="A34" s="7">
        <v>1</v>
      </c>
      <c r="B34" s="8" t="s">
        <v>121</v>
      </c>
      <c r="C34" s="9">
        <v>43570</v>
      </c>
      <c r="D34" s="8" t="s">
        <v>110</v>
      </c>
      <c r="E34" s="7">
        <v>5</v>
      </c>
      <c r="F34" s="8" t="s">
        <v>108</v>
      </c>
      <c r="G34" s="8" t="s">
        <v>105</v>
      </c>
      <c r="H34" s="8" t="s">
        <v>125</v>
      </c>
      <c r="I34" s="7">
        <v>172</v>
      </c>
      <c r="J34" s="7">
        <v>5058</v>
      </c>
      <c r="K34" s="8" t="s">
        <v>126</v>
      </c>
      <c r="L34" s="7">
        <v>129</v>
      </c>
      <c r="M34" s="8" t="s">
        <v>99</v>
      </c>
      <c r="N34" s="10" t="s">
        <v>43</v>
      </c>
      <c r="O34" s="10"/>
      <c r="P34" s="10" t="s">
        <v>100</v>
      </c>
      <c r="Q34" s="11">
        <v>1</v>
      </c>
      <c r="R34" s="11">
        <v>1</v>
      </c>
      <c r="S34" s="11">
        <v>114</v>
      </c>
      <c r="T34" s="10" t="s">
        <v>101</v>
      </c>
      <c r="U34" s="12">
        <v>45945</v>
      </c>
      <c r="V34" s="10" t="s">
        <v>44</v>
      </c>
      <c r="W34" s="11">
        <v>-1086</v>
      </c>
      <c r="X3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14/10/28</v>
      </c>
      <c r="Y3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4" s="14" t="str">
        <f>VLOOKUP(N34,RENOVAÇÃO!A:D,4,0)</f>
        <v>TRILHA SEGURANÇA DO TRABALHO</v>
      </c>
      <c r="AA34" s="6" t="str">
        <f ca="1">CONCATENATE("• ",
    Tabela1[[#This Row],[DESCRICAO]], " - ",Tabela1[[#This Row],[STATUS_GERAL]])</f>
        <v>• NR 20 - SEG. E TRAB. INFLAMÁVEIS E COMBUSTIVEIS CLASSE III - BASICO - EM DIA – vence em 14/10/28</v>
      </c>
    </row>
    <row r="35" spans="1:27" ht="20.399999999999999" x14ac:dyDescent="0.3">
      <c r="A35" s="7">
        <v>1</v>
      </c>
      <c r="B35" s="8" t="s">
        <v>121</v>
      </c>
      <c r="C35" s="9">
        <v>43570</v>
      </c>
      <c r="D35" s="8" t="s">
        <v>110</v>
      </c>
      <c r="E35" s="7">
        <v>5</v>
      </c>
      <c r="F35" s="8" t="s">
        <v>108</v>
      </c>
      <c r="G35" s="8" t="s">
        <v>105</v>
      </c>
      <c r="H35" s="8" t="s">
        <v>125</v>
      </c>
      <c r="I35" s="7">
        <v>172</v>
      </c>
      <c r="J35" s="7">
        <v>5058</v>
      </c>
      <c r="K35" s="8" t="s">
        <v>126</v>
      </c>
      <c r="L35" s="7">
        <v>300</v>
      </c>
      <c r="M35" s="8" t="s">
        <v>99</v>
      </c>
      <c r="N35" s="10" t="s">
        <v>46</v>
      </c>
      <c r="O35" s="10"/>
      <c r="P35" s="10" t="s">
        <v>100</v>
      </c>
      <c r="Q35" s="11">
        <v>1</v>
      </c>
      <c r="R35" s="11">
        <v>1</v>
      </c>
      <c r="S35" s="11">
        <v>102</v>
      </c>
      <c r="T35" s="10" t="s">
        <v>106</v>
      </c>
      <c r="U35" s="12">
        <v>45489</v>
      </c>
      <c r="V35" s="10" t="s">
        <v>5</v>
      </c>
      <c r="W35" s="11"/>
      <c r="X3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3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5" s="14" t="str">
        <f>VLOOKUP(N35,RENOVAÇÃO!A:D,4,0)</f>
        <v>TRILHA SEGURANÇA DO TRABALHO</v>
      </c>
      <c r="AA35" s="6" t="str">
        <f ca="1">CONCATENATE("• ",
    Tabela1[[#This Row],[DESCRICAO]], " - ",Tabela1[[#This Row],[STATUS_GERAL]])</f>
        <v>• NR 26 - SINALIZAÇÃO DE SEGURANÇA - EM DIA – não é necessário renovar</v>
      </c>
    </row>
    <row r="36" spans="1:27" ht="20.399999999999999" x14ac:dyDescent="0.3">
      <c r="A36" s="7">
        <v>1</v>
      </c>
      <c r="B36" s="8" t="s">
        <v>121</v>
      </c>
      <c r="C36" s="9">
        <v>43570</v>
      </c>
      <c r="D36" s="8" t="s">
        <v>110</v>
      </c>
      <c r="E36" s="7">
        <v>5</v>
      </c>
      <c r="F36" s="8" t="s">
        <v>108</v>
      </c>
      <c r="G36" s="8" t="s">
        <v>105</v>
      </c>
      <c r="H36" s="8" t="s">
        <v>125</v>
      </c>
      <c r="I36" s="7">
        <v>172</v>
      </c>
      <c r="J36" s="7">
        <v>5058</v>
      </c>
      <c r="K36" s="8" t="s">
        <v>126</v>
      </c>
      <c r="L36" s="7">
        <v>82</v>
      </c>
      <c r="M36" s="8" t="s">
        <v>99</v>
      </c>
      <c r="N36" s="10" t="s">
        <v>42</v>
      </c>
      <c r="O36" s="10"/>
      <c r="P36" s="10" t="s">
        <v>100</v>
      </c>
      <c r="Q36" s="11">
        <v>1</v>
      </c>
      <c r="R36" s="11">
        <v>1</v>
      </c>
      <c r="S36" s="11">
        <v>102</v>
      </c>
      <c r="T36" s="10" t="s">
        <v>106</v>
      </c>
      <c r="U36" s="12">
        <v>45602</v>
      </c>
      <c r="V36" s="10" t="s">
        <v>13</v>
      </c>
      <c r="W36" s="11">
        <v>-13</v>
      </c>
      <c r="X3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06/11/25</v>
      </c>
      <c r="Y3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6" s="14" t="str">
        <f>VLOOKUP(N36,RENOVAÇÃO!A:D,4,0)</f>
        <v>TRILHA SEGURANÇA DO TRABALHO</v>
      </c>
      <c r="AA36" s="6" t="str">
        <f ca="1">CONCATENATE("• ",
    Tabela1[[#This Row],[DESCRICAO]], " - ",Tabela1[[#This Row],[STATUS_GERAL]])</f>
        <v>• NR 20 - SEG. E TRAB. INFLAMÁVEIS E COMBUSTIVEIS CLASSE III - AVANÇADO - EM DIA – vence em 06/11/25</v>
      </c>
    </row>
    <row r="37" spans="1:27" ht="20.399999999999999" x14ac:dyDescent="0.3">
      <c r="A37" s="7">
        <v>1</v>
      </c>
      <c r="B37" s="8" t="s">
        <v>121</v>
      </c>
      <c r="C37" s="9">
        <v>43570</v>
      </c>
      <c r="D37" s="8" t="s">
        <v>110</v>
      </c>
      <c r="E37" s="7">
        <v>5</v>
      </c>
      <c r="F37" s="8" t="s">
        <v>108</v>
      </c>
      <c r="G37" s="8" t="s">
        <v>105</v>
      </c>
      <c r="H37" s="8" t="s">
        <v>125</v>
      </c>
      <c r="I37" s="7">
        <v>172</v>
      </c>
      <c r="J37" s="7">
        <v>5058</v>
      </c>
      <c r="K37" s="8" t="s">
        <v>126</v>
      </c>
      <c r="L37" s="7">
        <v>2</v>
      </c>
      <c r="M37" s="8" t="s">
        <v>99</v>
      </c>
      <c r="N37" s="10" t="s">
        <v>49</v>
      </c>
      <c r="O37" s="10"/>
      <c r="P37" s="10" t="s">
        <v>100</v>
      </c>
      <c r="Q37" s="11">
        <v>1</v>
      </c>
      <c r="R37" s="11">
        <v>1</v>
      </c>
      <c r="S37" s="11">
        <v>80</v>
      </c>
      <c r="T37" s="10" t="s">
        <v>104</v>
      </c>
      <c r="U37" s="12">
        <v>45349</v>
      </c>
      <c r="V37" s="10" t="s">
        <v>36</v>
      </c>
      <c r="W37" s="11">
        <v>-125</v>
      </c>
      <c r="X3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26/02/26</v>
      </c>
      <c r="Y3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7" s="14" t="str">
        <f>VLOOKUP(N37,RENOVAÇÃO!A:D,4,0)</f>
        <v>TRILHA SEGURANÇA DO TRABALHO</v>
      </c>
      <c r="AA37" s="6" t="str">
        <f ca="1">CONCATENATE("• ",
    Tabela1[[#This Row],[DESCRICAO]], " - ",Tabela1[[#This Row],[STATUS_GERAL]])</f>
        <v>• NR 35 - TRABALHO EM ALTURA - EM DIA – vence em 26/02/26</v>
      </c>
    </row>
    <row r="38" spans="1:27" ht="20.399999999999999" x14ac:dyDescent="0.3">
      <c r="A38" s="7">
        <v>1</v>
      </c>
      <c r="B38" s="8" t="s">
        <v>121</v>
      </c>
      <c r="C38" s="9">
        <v>43570</v>
      </c>
      <c r="D38" s="8" t="s">
        <v>110</v>
      </c>
      <c r="E38" s="7">
        <v>5</v>
      </c>
      <c r="F38" s="8" t="s">
        <v>108</v>
      </c>
      <c r="G38" s="8" t="s">
        <v>105</v>
      </c>
      <c r="H38" s="8" t="s">
        <v>125</v>
      </c>
      <c r="I38" s="7">
        <v>172</v>
      </c>
      <c r="J38" s="7">
        <v>5058</v>
      </c>
      <c r="K38" s="8" t="s">
        <v>126</v>
      </c>
      <c r="L38" s="7">
        <v>322</v>
      </c>
      <c r="M38" s="8" t="s">
        <v>99</v>
      </c>
      <c r="N38" s="10" t="s">
        <v>109</v>
      </c>
      <c r="O38" s="10"/>
      <c r="P38" s="10" t="s">
        <v>100</v>
      </c>
      <c r="Q38" s="11">
        <v>1</v>
      </c>
      <c r="R38" s="11">
        <v>3</v>
      </c>
      <c r="S38" s="11">
        <v>114</v>
      </c>
      <c r="T38" s="10" t="s">
        <v>101</v>
      </c>
      <c r="U38" s="12">
        <v>44865</v>
      </c>
      <c r="V38" s="10" t="s">
        <v>5</v>
      </c>
      <c r="W38" s="11"/>
      <c r="X3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3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38" s="14" t="str">
        <f>VLOOKUP(N38,RENOVAÇÃO!A:D,4,0)</f>
        <v>TRILHA SEGURANÇA DO TRABALHO</v>
      </c>
      <c r="AA38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39" spans="1:27" ht="20.399999999999999" x14ac:dyDescent="0.3">
      <c r="A39" s="7">
        <v>1</v>
      </c>
      <c r="B39" s="8" t="s">
        <v>121</v>
      </c>
      <c r="C39" s="9">
        <v>43570</v>
      </c>
      <c r="D39" s="8" t="s">
        <v>110</v>
      </c>
      <c r="E39" s="7">
        <v>5</v>
      </c>
      <c r="F39" s="8" t="s">
        <v>108</v>
      </c>
      <c r="G39" s="8" t="s">
        <v>105</v>
      </c>
      <c r="H39" s="8" t="s">
        <v>125</v>
      </c>
      <c r="I39" s="7">
        <v>172</v>
      </c>
      <c r="J39" s="7">
        <v>5058</v>
      </c>
      <c r="K39" s="8" t="s">
        <v>126</v>
      </c>
      <c r="L39" s="7">
        <v>320</v>
      </c>
      <c r="M39" s="8" t="s">
        <v>99</v>
      </c>
      <c r="N39" s="10" t="s">
        <v>49</v>
      </c>
      <c r="O39" s="10"/>
      <c r="P39" s="10" t="s">
        <v>100</v>
      </c>
      <c r="Q39" s="11">
        <v>1</v>
      </c>
      <c r="R39" s="11">
        <v>1</v>
      </c>
      <c r="S39" s="11">
        <v>102</v>
      </c>
      <c r="T39" s="10" t="s">
        <v>106</v>
      </c>
      <c r="U39" s="12">
        <v>45834</v>
      </c>
      <c r="V39" s="10" t="s">
        <v>36</v>
      </c>
      <c r="W39" s="11">
        <v>-610</v>
      </c>
      <c r="X3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26/06/27</v>
      </c>
      <c r="Y3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39" s="14" t="str">
        <f>VLOOKUP(N39,RENOVAÇÃO!A:D,4,0)</f>
        <v>TRILHA SEGURANÇA DO TRABALHO</v>
      </c>
      <c r="AA39" s="6" t="str">
        <f ca="1">CONCATENATE("• ",
    Tabela1[[#This Row],[DESCRICAO]], " - ",Tabela1[[#This Row],[STATUS_GERAL]])</f>
        <v>• NR 35 - TRABALHO EM ALTURA - EM DIA – vence em 26/06/27</v>
      </c>
    </row>
    <row r="40" spans="1:27" ht="20.399999999999999" x14ac:dyDescent="0.3">
      <c r="A40" s="7">
        <v>1</v>
      </c>
      <c r="B40" s="8" t="s">
        <v>121</v>
      </c>
      <c r="C40" s="9">
        <v>43570</v>
      </c>
      <c r="D40" s="8" t="s">
        <v>110</v>
      </c>
      <c r="E40" s="7">
        <v>5</v>
      </c>
      <c r="F40" s="8" t="s">
        <v>108</v>
      </c>
      <c r="G40" s="8" t="s">
        <v>105</v>
      </c>
      <c r="H40" s="8" t="s">
        <v>125</v>
      </c>
      <c r="I40" s="7">
        <v>172</v>
      </c>
      <c r="J40" s="7">
        <v>5058</v>
      </c>
      <c r="K40" s="8" t="s">
        <v>126</v>
      </c>
      <c r="L40" s="7">
        <v>308</v>
      </c>
      <c r="M40" s="8" t="s">
        <v>99</v>
      </c>
      <c r="N40" s="10" t="s">
        <v>43</v>
      </c>
      <c r="O40" s="10"/>
      <c r="P40" s="10" t="s">
        <v>100</v>
      </c>
      <c r="Q40" s="11">
        <v>1</v>
      </c>
      <c r="R40" s="11">
        <v>1</v>
      </c>
      <c r="S40" s="11">
        <v>80</v>
      </c>
      <c r="T40" s="10" t="s">
        <v>104</v>
      </c>
      <c r="U40" s="12">
        <v>44889</v>
      </c>
      <c r="V40" s="10" t="s">
        <v>44</v>
      </c>
      <c r="W40" s="11">
        <v>-30</v>
      </c>
      <c r="X4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23/11/25</v>
      </c>
      <c r="Y4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40" s="14" t="str">
        <f>VLOOKUP(N40,RENOVAÇÃO!A:D,4,0)</f>
        <v>TRILHA SEGURANÇA DO TRABALHO</v>
      </c>
      <c r="AA40" s="6" t="str">
        <f ca="1">CONCATENATE("• ",
    Tabela1[[#This Row],[DESCRICAO]], " - ",Tabela1[[#This Row],[STATUS_GERAL]])</f>
        <v>• NR 20 - SEG. E TRAB. INFLAMÁVEIS E COMBUSTIVEIS CLASSE III - BASICO - EM DIA – vence em 23/11/25</v>
      </c>
    </row>
    <row r="41" spans="1:27" ht="20.399999999999999" x14ac:dyDescent="0.3">
      <c r="A41" s="7">
        <v>1</v>
      </c>
      <c r="B41" s="8" t="s">
        <v>121</v>
      </c>
      <c r="C41" s="9">
        <v>43570</v>
      </c>
      <c r="D41" s="8" t="s">
        <v>110</v>
      </c>
      <c r="E41" s="7">
        <v>5</v>
      </c>
      <c r="F41" s="8" t="s">
        <v>108</v>
      </c>
      <c r="G41" s="8" t="s">
        <v>105</v>
      </c>
      <c r="H41" s="8" t="s">
        <v>125</v>
      </c>
      <c r="I41" s="7">
        <v>172</v>
      </c>
      <c r="J41" s="7">
        <v>5058</v>
      </c>
      <c r="K41" s="8" t="s">
        <v>126</v>
      </c>
      <c r="L41" s="7">
        <v>295</v>
      </c>
      <c r="M41" s="8" t="s">
        <v>99</v>
      </c>
      <c r="N41" s="10" t="s">
        <v>43</v>
      </c>
      <c r="O41" s="10"/>
      <c r="P41" s="10" t="s">
        <v>100</v>
      </c>
      <c r="Q41" s="11">
        <v>1</v>
      </c>
      <c r="R41" s="11">
        <v>8</v>
      </c>
      <c r="S41" s="11">
        <v>78</v>
      </c>
      <c r="T41" s="10" t="s">
        <v>102</v>
      </c>
      <c r="U41" s="12">
        <v>45404</v>
      </c>
      <c r="V41" s="10" t="s">
        <v>44</v>
      </c>
      <c r="W41" s="11">
        <v>-545</v>
      </c>
      <c r="X4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22/04/27</v>
      </c>
      <c r="Y4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BALSAS</v>
      </c>
      <c r="Z41" s="14" t="str">
        <f>VLOOKUP(N41,RENOVAÇÃO!A:D,4,0)</f>
        <v>TRILHA SEGURANÇA DO TRABALHO</v>
      </c>
      <c r="AA41" s="6" t="str">
        <f ca="1">CONCATENATE("• ",
    Tabela1[[#This Row],[DESCRICAO]], " - ",Tabela1[[#This Row],[STATUS_GERAL]])</f>
        <v>• NR 20 - SEG. E TRAB. INFLAMÁVEIS E COMBUSTIVEIS CLASSE III - BASICO - EM DIA – vence em 22/04/27</v>
      </c>
    </row>
    <row r="42" spans="1:27" ht="20.399999999999999" x14ac:dyDescent="0.3">
      <c r="A42" s="7">
        <v>1</v>
      </c>
      <c r="B42" s="8" t="s">
        <v>121</v>
      </c>
      <c r="C42" s="9">
        <v>43570</v>
      </c>
      <c r="D42" s="8" t="s">
        <v>110</v>
      </c>
      <c r="E42" s="7">
        <v>5</v>
      </c>
      <c r="F42" s="8" t="s">
        <v>108</v>
      </c>
      <c r="G42" s="8" t="s">
        <v>105</v>
      </c>
      <c r="H42" s="8" t="s">
        <v>125</v>
      </c>
      <c r="I42" s="7">
        <v>172</v>
      </c>
      <c r="J42" s="7">
        <v>5058</v>
      </c>
      <c r="K42" s="8" t="s">
        <v>126</v>
      </c>
      <c r="L42" s="7">
        <v>302</v>
      </c>
      <c r="M42" s="8" t="s">
        <v>99</v>
      </c>
      <c r="N42" s="10" t="s">
        <v>42</v>
      </c>
      <c r="O42" s="10"/>
      <c r="P42" s="10" t="s">
        <v>100</v>
      </c>
      <c r="Q42" s="11">
        <v>1</v>
      </c>
      <c r="R42" s="11">
        <v>1</v>
      </c>
      <c r="S42" s="11">
        <v>102</v>
      </c>
      <c r="T42" s="10" t="s">
        <v>106</v>
      </c>
      <c r="U42" s="12">
        <v>45607</v>
      </c>
      <c r="V42" s="10" t="s">
        <v>13</v>
      </c>
      <c r="W42" s="11">
        <v>-18</v>
      </c>
      <c r="X4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11/11/25</v>
      </c>
      <c r="Y4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42" s="14" t="str">
        <f>VLOOKUP(N42,RENOVAÇÃO!A:D,4,0)</f>
        <v>TRILHA SEGURANÇA DO TRABALHO</v>
      </c>
      <c r="AA42" s="6" t="str">
        <f ca="1">CONCATENATE("• ",
    Tabela1[[#This Row],[DESCRICAO]], " - ",Tabela1[[#This Row],[STATUS_GERAL]])</f>
        <v>• NR 20 - SEG. E TRAB. INFLAMÁVEIS E COMBUSTIVEIS CLASSE III - AVANÇADO - EM DIA – vence em 11/11/25</v>
      </c>
    </row>
    <row r="43" spans="1:27" ht="20.399999999999999" x14ac:dyDescent="0.3">
      <c r="A43" s="7">
        <v>1</v>
      </c>
      <c r="B43" s="8" t="s">
        <v>121</v>
      </c>
      <c r="C43" s="9">
        <v>43570</v>
      </c>
      <c r="D43" s="8" t="s">
        <v>110</v>
      </c>
      <c r="E43" s="7">
        <v>5</v>
      </c>
      <c r="F43" s="8" t="s">
        <v>108</v>
      </c>
      <c r="G43" s="8" t="s">
        <v>105</v>
      </c>
      <c r="H43" s="8" t="s">
        <v>125</v>
      </c>
      <c r="I43" s="7">
        <v>172</v>
      </c>
      <c r="J43" s="7">
        <v>5058</v>
      </c>
      <c r="K43" s="8" t="s">
        <v>126</v>
      </c>
      <c r="L43" s="7">
        <v>318</v>
      </c>
      <c r="M43" s="8" t="s">
        <v>99</v>
      </c>
      <c r="N43" s="10" t="s">
        <v>48</v>
      </c>
      <c r="O43" s="10"/>
      <c r="P43" s="10" t="s">
        <v>100</v>
      </c>
      <c r="Q43" s="11">
        <v>1</v>
      </c>
      <c r="R43" s="11">
        <v>1</v>
      </c>
      <c r="S43" s="11">
        <v>102</v>
      </c>
      <c r="T43" s="10" t="s">
        <v>106</v>
      </c>
      <c r="U43" s="12">
        <v>45707</v>
      </c>
      <c r="V43" s="10" t="s">
        <v>13</v>
      </c>
      <c r="W43" s="11">
        <v>-118</v>
      </c>
      <c r="X4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19/02/26</v>
      </c>
      <c r="Y4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43" s="14" t="str">
        <f>VLOOKUP(N43,RENOVAÇÃO!A:D,4,0)</f>
        <v>TRILHA SEGURANÇA DO TRABALHO</v>
      </c>
      <c r="AA43" s="6" t="str">
        <f ca="1">CONCATENATE("• ",
    Tabela1[[#This Row],[DESCRICAO]], " - ",Tabela1[[#This Row],[STATUS_GERAL]])</f>
        <v>• NR 33 - SEGURANÇA E SAUDE NOS TRABALHOS EM ESPAÇOS CONFINADOS - VIGIA E TRABALHADOR - EM DIA – vence em 19/02/26</v>
      </c>
    </row>
    <row r="44" spans="1:27" ht="20.399999999999999" x14ac:dyDescent="0.3">
      <c r="A44" s="7">
        <v>1</v>
      </c>
      <c r="B44" s="8" t="s">
        <v>121</v>
      </c>
      <c r="C44" s="9">
        <v>43570</v>
      </c>
      <c r="D44" s="8" t="s">
        <v>110</v>
      </c>
      <c r="E44" s="7">
        <v>5</v>
      </c>
      <c r="F44" s="8" t="s">
        <v>108</v>
      </c>
      <c r="G44" s="8" t="s">
        <v>105</v>
      </c>
      <c r="H44" s="8" t="s">
        <v>125</v>
      </c>
      <c r="I44" s="7">
        <v>172</v>
      </c>
      <c r="J44" s="7">
        <v>5058</v>
      </c>
      <c r="K44" s="8" t="s">
        <v>126</v>
      </c>
      <c r="L44" s="7">
        <v>319</v>
      </c>
      <c r="M44" s="8" t="s">
        <v>99</v>
      </c>
      <c r="N44" s="10" t="s">
        <v>46</v>
      </c>
      <c r="O44" s="10"/>
      <c r="P44" s="10" t="s">
        <v>100</v>
      </c>
      <c r="Q44" s="11">
        <v>1</v>
      </c>
      <c r="R44" s="11">
        <v>8</v>
      </c>
      <c r="S44" s="11">
        <v>102</v>
      </c>
      <c r="T44" s="10" t="s">
        <v>106</v>
      </c>
      <c r="U44" s="12">
        <v>45489</v>
      </c>
      <c r="V44" s="10" t="s">
        <v>5</v>
      </c>
      <c r="W44" s="11"/>
      <c r="X4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4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BALSAS</v>
      </c>
      <c r="Z44" s="14" t="str">
        <f>VLOOKUP(N44,RENOVAÇÃO!A:D,4,0)</f>
        <v>TRILHA SEGURANÇA DO TRABALHO</v>
      </c>
      <c r="AA44" s="6" t="str">
        <f ca="1">CONCATENATE("• ",
    Tabela1[[#This Row],[DESCRICAO]], " - ",Tabela1[[#This Row],[STATUS_GERAL]])</f>
        <v>• NR 26 - SINALIZAÇÃO DE SEGURANÇA - EM DIA – não é necessário renovar</v>
      </c>
    </row>
    <row r="45" spans="1:27" ht="20.399999999999999" x14ac:dyDescent="0.3">
      <c r="A45" s="7">
        <v>1</v>
      </c>
      <c r="B45" s="8" t="s">
        <v>121</v>
      </c>
      <c r="C45" s="9">
        <v>43570</v>
      </c>
      <c r="D45" s="8" t="s">
        <v>110</v>
      </c>
      <c r="E45" s="7">
        <v>5</v>
      </c>
      <c r="F45" s="8" t="s">
        <v>108</v>
      </c>
      <c r="G45" s="8" t="s">
        <v>105</v>
      </c>
      <c r="H45" s="8" t="s">
        <v>125</v>
      </c>
      <c r="I45" s="7">
        <v>172</v>
      </c>
      <c r="J45" s="7">
        <v>5058</v>
      </c>
      <c r="K45" s="8" t="s">
        <v>126</v>
      </c>
      <c r="L45" s="7">
        <v>104</v>
      </c>
      <c r="M45" s="8" t="s">
        <v>99</v>
      </c>
      <c r="N45" s="10" t="s">
        <v>109</v>
      </c>
      <c r="O45" s="10"/>
      <c r="P45" s="10" t="s">
        <v>100</v>
      </c>
      <c r="Q45" s="11">
        <v>1</v>
      </c>
      <c r="R45" s="11">
        <v>3</v>
      </c>
      <c r="S45" s="11">
        <v>102</v>
      </c>
      <c r="T45" s="10" t="s">
        <v>106</v>
      </c>
      <c r="U45" s="12">
        <v>44851</v>
      </c>
      <c r="V45" s="10" t="s">
        <v>5</v>
      </c>
      <c r="W45" s="11"/>
      <c r="X4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4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45" s="14" t="str">
        <f>VLOOKUP(N45,RENOVAÇÃO!A:D,4,0)</f>
        <v>TRILHA SEGURANÇA DO TRABALHO</v>
      </c>
      <c r="AA45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46" spans="1:27" x14ac:dyDescent="0.3">
      <c r="A46" s="7">
        <v>1</v>
      </c>
      <c r="B46" s="8" t="s">
        <v>121</v>
      </c>
      <c r="C46" s="9">
        <v>43570</v>
      </c>
      <c r="D46" s="8" t="s">
        <v>110</v>
      </c>
      <c r="E46" s="7">
        <v>5</v>
      </c>
      <c r="F46" s="8" t="s">
        <v>108</v>
      </c>
      <c r="G46" s="8" t="s">
        <v>105</v>
      </c>
      <c r="H46" s="8" t="s">
        <v>125</v>
      </c>
      <c r="I46" s="7">
        <v>172</v>
      </c>
      <c r="J46" s="7">
        <v>5058</v>
      </c>
      <c r="K46" s="8" t="s">
        <v>126</v>
      </c>
      <c r="L46" s="7">
        <v>123</v>
      </c>
      <c r="M46" s="8" t="s">
        <v>99</v>
      </c>
      <c r="N46" s="10" t="s">
        <v>49</v>
      </c>
      <c r="O46" s="10"/>
      <c r="P46" s="10" t="s">
        <v>100</v>
      </c>
      <c r="Q46" s="11">
        <v>1</v>
      </c>
      <c r="R46" s="11">
        <v>1</v>
      </c>
      <c r="S46" s="11">
        <v>114</v>
      </c>
      <c r="T46" s="10" t="s">
        <v>101</v>
      </c>
      <c r="U46" s="12">
        <v>45827</v>
      </c>
      <c r="V46" s="10" t="s">
        <v>36</v>
      </c>
      <c r="W46" s="11">
        <v>-603</v>
      </c>
      <c r="X4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19/06/27</v>
      </c>
      <c r="Y4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46" s="14" t="str">
        <f>VLOOKUP(N46,RENOVAÇÃO!A:D,4,0)</f>
        <v>TRILHA SEGURANÇA DO TRABALHO</v>
      </c>
      <c r="AA46" s="6" t="str">
        <f ca="1">CONCATENATE("• ",
    Tabela1[[#This Row],[DESCRICAO]], " - ",Tabela1[[#This Row],[STATUS_GERAL]])</f>
        <v>• NR 35 - TRABALHO EM ALTURA - EM DIA – vence em 19/06/27</v>
      </c>
    </row>
    <row r="47" spans="1:27" ht="20.399999999999999" x14ac:dyDescent="0.3">
      <c r="A47" s="7">
        <v>1</v>
      </c>
      <c r="B47" s="8" t="s">
        <v>121</v>
      </c>
      <c r="C47" s="9">
        <v>43570</v>
      </c>
      <c r="D47" s="8" t="s">
        <v>110</v>
      </c>
      <c r="E47" s="7">
        <v>5</v>
      </c>
      <c r="F47" s="8" t="s">
        <v>108</v>
      </c>
      <c r="G47" s="8" t="s">
        <v>105</v>
      </c>
      <c r="H47" s="8" t="s">
        <v>125</v>
      </c>
      <c r="I47" s="7">
        <v>172</v>
      </c>
      <c r="J47" s="7">
        <v>5058</v>
      </c>
      <c r="K47" s="8" t="s">
        <v>126</v>
      </c>
      <c r="L47" s="7">
        <v>235</v>
      </c>
      <c r="M47" s="8" t="s">
        <v>99</v>
      </c>
      <c r="N47" s="10" t="s">
        <v>45</v>
      </c>
      <c r="O47" s="10"/>
      <c r="P47" s="10" t="s">
        <v>100</v>
      </c>
      <c r="Q47" s="11">
        <v>1</v>
      </c>
      <c r="R47" s="11">
        <v>8</v>
      </c>
      <c r="S47" s="11">
        <v>80</v>
      </c>
      <c r="T47" s="10" t="s">
        <v>104</v>
      </c>
      <c r="U47" s="12">
        <v>45889</v>
      </c>
      <c r="V47" s="10" t="s">
        <v>36</v>
      </c>
      <c r="W47" s="11">
        <v>-665</v>
      </c>
      <c r="X4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20/08/27</v>
      </c>
      <c r="Y4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BALSAS</v>
      </c>
      <c r="Z47" s="14" t="str">
        <f>VLOOKUP(N47,RENOVAÇÃO!A:D,4,0)</f>
        <v>TRILHA SEGURANÇA DO TRABALHO</v>
      </c>
      <c r="AA47" s="6" t="str">
        <f ca="1">CONCATENATE("• ",
    Tabela1[[#This Row],[DESCRICAO]], " - ",Tabela1[[#This Row],[STATUS_GERAL]])</f>
        <v>• NR 20 - SEG. E TRAB. INFLAMÁVEIS E COMBUSTIVEIS CLASSE III - INTERMEDIÁRIO - EM DIA – vence em 20/08/27</v>
      </c>
    </row>
    <row r="48" spans="1:27" ht="20.399999999999999" x14ac:dyDescent="0.3">
      <c r="A48" s="7">
        <v>1</v>
      </c>
      <c r="B48" s="8" t="s">
        <v>121</v>
      </c>
      <c r="C48" s="9">
        <v>43570</v>
      </c>
      <c r="D48" s="8" t="s">
        <v>110</v>
      </c>
      <c r="E48" s="7">
        <v>5</v>
      </c>
      <c r="F48" s="8" t="s">
        <v>108</v>
      </c>
      <c r="G48" s="8" t="s">
        <v>105</v>
      </c>
      <c r="H48" s="8" t="s">
        <v>125</v>
      </c>
      <c r="I48" s="7">
        <v>172</v>
      </c>
      <c r="J48" s="7">
        <v>5058</v>
      </c>
      <c r="K48" s="8" t="s">
        <v>126</v>
      </c>
      <c r="L48" s="7">
        <v>321</v>
      </c>
      <c r="M48" s="8" t="s">
        <v>99</v>
      </c>
      <c r="N48" s="10" t="s">
        <v>39</v>
      </c>
      <c r="O48" s="10"/>
      <c r="P48" s="10"/>
      <c r="Q48" s="11">
        <v>1</v>
      </c>
      <c r="R48" s="11">
        <v>8</v>
      </c>
      <c r="S48" s="11">
        <v>80</v>
      </c>
      <c r="T48" s="10" t="s">
        <v>104</v>
      </c>
      <c r="U48" s="10"/>
      <c r="V48" s="10" t="s">
        <v>36</v>
      </c>
      <c r="W48" s="11"/>
      <c r="X4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PENDENTE</v>
      </c>
      <c r="Y4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BALSAS</v>
      </c>
      <c r="Z48" s="14" t="str">
        <f>VLOOKUP(N48,RENOVAÇÃO!A:D,4,0)</f>
        <v>TRILHA SEGURANÇA DO TRABALHO</v>
      </c>
      <c r="AA48" s="6" t="str">
        <f ca="1">CONCATENATE("• ",
    Tabela1[[#This Row],[DESCRICAO]], " - ",Tabela1[[#This Row],[STATUS_GERAL]])</f>
        <v>• NR 11 - OPERAÇÃO DE TALHAS E PONTE ROLANTE - PENDENTE</v>
      </c>
    </row>
    <row r="49" spans="1:27" ht="20.399999999999999" x14ac:dyDescent="0.3">
      <c r="A49" s="7">
        <v>1</v>
      </c>
      <c r="B49" s="8" t="s">
        <v>121</v>
      </c>
      <c r="C49" s="9">
        <v>43570</v>
      </c>
      <c r="D49" s="8" t="s">
        <v>110</v>
      </c>
      <c r="E49" s="7">
        <v>5</v>
      </c>
      <c r="F49" s="8" t="s">
        <v>108</v>
      </c>
      <c r="G49" s="8" t="s">
        <v>105</v>
      </c>
      <c r="H49" s="8" t="s">
        <v>125</v>
      </c>
      <c r="I49" s="7">
        <v>172</v>
      </c>
      <c r="J49" s="7">
        <v>5058</v>
      </c>
      <c r="K49" s="8" t="s">
        <v>126</v>
      </c>
      <c r="L49" s="7">
        <v>323</v>
      </c>
      <c r="M49" s="8" t="s">
        <v>99</v>
      </c>
      <c r="N49" s="10" t="s">
        <v>48</v>
      </c>
      <c r="O49" s="10"/>
      <c r="P49" s="10" t="s">
        <v>100</v>
      </c>
      <c r="Q49" s="11">
        <v>1</v>
      </c>
      <c r="R49" s="11">
        <v>1</v>
      </c>
      <c r="S49" s="11">
        <v>102</v>
      </c>
      <c r="T49" s="10" t="s">
        <v>106</v>
      </c>
      <c r="U49" s="12">
        <v>45709</v>
      </c>
      <c r="V49" s="10" t="s">
        <v>13</v>
      </c>
      <c r="W49" s="11">
        <v>-120</v>
      </c>
      <c r="X4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21/02/26</v>
      </c>
      <c r="Y4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49" s="14" t="str">
        <f>VLOOKUP(N49,RENOVAÇÃO!A:D,4,0)</f>
        <v>TRILHA SEGURANÇA DO TRABALHO</v>
      </c>
      <c r="AA49" s="6" t="str">
        <f ca="1">CONCATENATE("• ",
    Tabela1[[#This Row],[DESCRICAO]], " - ",Tabela1[[#This Row],[STATUS_GERAL]])</f>
        <v>• NR 33 - SEGURANÇA E SAUDE NOS TRABALHOS EM ESPAÇOS CONFINADOS - VIGIA E TRABALHADOR - EM DIA – vence em 21/02/26</v>
      </c>
    </row>
    <row r="50" spans="1:27" ht="20.399999999999999" x14ac:dyDescent="0.3">
      <c r="A50" s="7">
        <v>2</v>
      </c>
      <c r="B50" s="8" t="s">
        <v>122</v>
      </c>
      <c r="C50" s="9">
        <v>43587</v>
      </c>
      <c r="D50" s="8" t="s">
        <v>110</v>
      </c>
      <c r="E50" s="7">
        <v>5</v>
      </c>
      <c r="F50" s="8" t="s">
        <v>108</v>
      </c>
      <c r="G50" s="8" t="s">
        <v>105</v>
      </c>
      <c r="H50" s="8" t="s">
        <v>125</v>
      </c>
      <c r="I50" s="7">
        <v>168</v>
      </c>
      <c r="J50" s="7">
        <v>5060</v>
      </c>
      <c r="K50" s="8" t="s">
        <v>126</v>
      </c>
      <c r="L50" s="7">
        <v>123</v>
      </c>
      <c r="M50" s="8" t="s">
        <v>99</v>
      </c>
      <c r="N50" s="10" t="s">
        <v>42</v>
      </c>
      <c r="O50" s="10"/>
      <c r="P50" s="10" t="s">
        <v>100</v>
      </c>
      <c r="Q50" s="11">
        <v>1</v>
      </c>
      <c r="R50" s="11">
        <v>1</v>
      </c>
      <c r="S50" s="11">
        <v>102</v>
      </c>
      <c r="T50" s="10" t="s">
        <v>106</v>
      </c>
      <c r="U50" s="12">
        <v>45601</v>
      </c>
      <c r="V50" s="10" t="s">
        <v>13</v>
      </c>
      <c r="W50" s="11">
        <v>-12</v>
      </c>
      <c r="X5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05/11/25</v>
      </c>
      <c r="Y5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0" s="14" t="str">
        <f>VLOOKUP(N50,RENOVAÇÃO!A:D,4,0)</f>
        <v>TRILHA SEGURANÇA DO TRABALHO</v>
      </c>
      <c r="AA50" s="6" t="str">
        <f ca="1">CONCATENATE("• ",
    Tabela1[[#This Row],[DESCRICAO]], " - ",Tabela1[[#This Row],[STATUS_GERAL]])</f>
        <v>• NR 20 - SEG. E TRAB. INFLAMÁVEIS E COMBUSTIVEIS CLASSE III - AVANÇADO - EM DIA – vence em 05/11/25</v>
      </c>
    </row>
    <row r="51" spans="1:27" ht="20.399999999999999" x14ac:dyDescent="0.3">
      <c r="A51" s="7">
        <v>2</v>
      </c>
      <c r="B51" s="8" t="s">
        <v>122</v>
      </c>
      <c r="C51" s="9">
        <v>43587</v>
      </c>
      <c r="D51" s="8" t="s">
        <v>110</v>
      </c>
      <c r="E51" s="7">
        <v>5</v>
      </c>
      <c r="F51" s="8" t="s">
        <v>108</v>
      </c>
      <c r="G51" s="8" t="s">
        <v>105</v>
      </c>
      <c r="H51" s="8" t="s">
        <v>125</v>
      </c>
      <c r="I51" s="7">
        <v>168</v>
      </c>
      <c r="J51" s="7">
        <v>5060</v>
      </c>
      <c r="K51" s="8" t="s">
        <v>126</v>
      </c>
      <c r="L51" s="7">
        <v>295</v>
      </c>
      <c r="M51" s="8" t="s">
        <v>99</v>
      </c>
      <c r="N51" s="10" t="s">
        <v>46</v>
      </c>
      <c r="O51" s="10"/>
      <c r="P51" s="10" t="s">
        <v>100</v>
      </c>
      <c r="Q51" s="11">
        <v>1</v>
      </c>
      <c r="R51" s="11">
        <v>1</v>
      </c>
      <c r="S51" s="11">
        <v>102</v>
      </c>
      <c r="T51" s="10" t="s">
        <v>106</v>
      </c>
      <c r="U51" s="12">
        <v>45489</v>
      </c>
      <c r="V51" s="10" t="s">
        <v>5</v>
      </c>
      <c r="W51" s="11"/>
      <c r="X5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5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1" s="14" t="str">
        <f>VLOOKUP(N51,RENOVAÇÃO!A:D,4,0)</f>
        <v>TRILHA SEGURANÇA DO TRABALHO</v>
      </c>
      <c r="AA51" s="6" t="str">
        <f ca="1">CONCATENATE("• ",
    Tabela1[[#This Row],[DESCRICAO]], " - ",Tabela1[[#This Row],[STATUS_GERAL]])</f>
        <v>• NR 26 - SINALIZAÇÃO DE SEGURANÇA - EM DIA – não é necessário renovar</v>
      </c>
    </row>
    <row r="52" spans="1:27" ht="20.399999999999999" x14ac:dyDescent="0.3">
      <c r="A52" s="7">
        <v>2</v>
      </c>
      <c r="B52" s="8" t="s">
        <v>122</v>
      </c>
      <c r="C52" s="9">
        <v>43587</v>
      </c>
      <c r="D52" s="8" t="s">
        <v>110</v>
      </c>
      <c r="E52" s="7">
        <v>5</v>
      </c>
      <c r="F52" s="8" t="s">
        <v>108</v>
      </c>
      <c r="G52" s="8" t="s">
        <v>105</v>
      </c>
      <c r="H52" s="8" t="s">
        <v>125</v>
      </c>
      <c r="I52" s="7">
        <v>168</v>
      </c>
      <c r="J52" s="7">
        <v>5060</v>
      </c>
      <c r="K52" s="8" t="s">
        <v>126</v>
      </c>
      <c r="L52" s="7">
        <v>235</v>
      </c>
      <c r="M52" s="8" t="s">
        <v>99</v>
      </c>
      <c r="N52" s="10" t="s">
        <v>49</v>
      </c>
      <c r="O52" s="10"/>
      <c r="P52" s="10" t="s">
        <v>100</v>
      </c>
      <c r="Q52" s="11">
        <v>1</v>
      </c>
      <c r="R52" s="11">
        <v>1</v>
      </c>
      <c r="S52" s="11">
        <v>102</v>
      </c>
      <c r="T52" s="10" t="s">
        <v>106</v>
      </c>
      <c r="U52" s="12">
        <v>45544</v>
      </c>
      <c r="V52" s="10" t="s">
        <v>36</v>
      </c>
      <c r="W52" s="11">
        <v>-320</v>
      </c>
      <c r="X5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09/09/26</v>
      </c>
      <c r="Y5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2" s="14" t="str">
        <f>VLOOKUP(N52,RENOVAÇÃO!A:D,4,0)</f>
        <v>TRILHA SEGURANÇA DO TRABALHO</v>
      </c>
      <c r="AA52" s="6" t="str">
        <f ca="1">CONCATENATE("• ",
    Tabela1[[#This Row],[DESCRICAO]], " - ",Tabela1[[#This Row],[STATUS_GERAL]])</f>
        <v>• NR 35 - TRABALHO EM ALTURA - EM DIA – vence em 09/09/26</v>
      </c>
    </row>
    <row r="53" spans="1:27" ht="20.399999999999999" x14ac:dyDescent="0.3">
      <c r="A53" s="7">
        <v>2</v>
      </c>
      <c r="B53" s="8" t="s">
        <v>122</v>
      </c>
      <c r="C53" s="9">
        <v>43587</v>
      </c>
      <c r="D53" s="8" t="s">
        <v>110</v>
      </c>
      <c r="E53" s="7">
        <v>5</v>
      </c>
      <c r="F53" s="8" t="s">
        <v>108</v>
      </c>
      <c r="G53" s="8" t="s">
        <v>105</v>
      </c>
      <c r="H53" s="8" t="s">
        <v>125</v>
      </c>
      <c r="I53" s="7">
        <v>168</v>
      </c>
      <c r="J53" s="7">
        <v>5060</v>
      </c>
      <c r="K53" s="8" t="s">
        <v>126</v>
      </c>
      <c r="L53" s="7">
        <v>262</v>
      </c>
      <c r="M53" s="8" t="s">
        <v>99</v>
      </c>
      <c r="N53" s="10" t="s">
        <v>48</v>
      </c>
      <c r="O53" s="10"/>
      <c r="P53" s="10" t="s">
        <v>100</v>
      </c>
      <c r="Q53" s="11">
        <v>1</v>
      </c>
      <c r="R53" s="11">
        <v>2</v>
      </c>
      <c r="S53" s="11">
        <v>114</v>
      </c>
      <c r="T53" s="10" t="s">
        <v>101</v>
      </c>
      <c r="U53" s="12">
        <v>45757</v>
      </c>
      <c r="V53" s="10" t="s">
        <v>13</v>
      </c>
      <c r="W53" s="11">
        <v>-168</v>
      </c>
      <c r="X5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10/04/26</v>
      </c>
      <c r="Y5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DOURADOS</v>
      </c>
      <c r="Z53" s="14" t="str">
        <f>VLOOKUP(N53,RENOVAÇÃO!A:D,4,0)</f>
        <v>TRILHA SEGURANÇA DO TRABALHO</v>
      </c>
      <c r="AA53" s="6" t="str">
        <f ca="1">CONCATENATE("• ",
    Tabela1[[#This Row],[DESCRICAO]], " - ",Tabela1[[#This Row],[STATUS_GERAL]])</f>
        <v>• NR 33 - SEGURANÇA E SAUDE NOS TRABALHOS EM ESPAÇOS CONFINADOS - VIGIA E TRABALHADOR - EM DIA – vence em 10/04/26</v>
      </c>
    </row>
    <row r="54" spans="1:27" ht="20.399999999999999" x14ac:dyDescent="0.3">
      <c r="A54" s="7">
        <v>2</v>
      </c>
      <c r="B54" s="8" t="s">
        <v>122</v>
      </c>
      <c r="C54" s="9">
        <v>43587</v>
      </c>
      <c r="D54" s="8" t="s">
        <v>110</v>
      </c>
      <c r="E54" s="7">
        <v>5</v>
      </c>
      <c r="F54" s="8" t="s">
        <v>108</v>
      </c>
      <c r="G54" s="8" t="s">
        <v>105</v>
      </c>
      <c r="H54" s="8" t="s">
        <v>125</v>
      </c>
      <c r="I54" s="7">
        <v>168</v>
      </c>
      <c r="J54" s="7">
        <v>5060</v>
      </c>
      <c r="K54" s="8" t="s">
        <v>126</v>
      </c>
      <c r="L54" s="7">
        <v>1</v>
      </c>
      <c r="M54" s="8" t="s">
        <v>99</v>
      </c>
      <c r="N54" s="10" t="s">
        <v>48</v>
      </c>
      <c r="O54" s="10"/>
      <c r="P54" s="10" t="s">
        <v>100</v>
      </c>
      <c r="Q54" s="11">
        <v>1</v>
      </c>
      <c r="R54" s="11">
        <v>1</v>
      </c>
      <c r="S54" s="11">
        <v>114</v>
      </c>
      <c r="T54" s="10" t="s">
        <v>101</v>
      </c>
      <c r="U54" s="12">
        <v>45918</v>
      </c>
      <c r="V54" s="10" t="s">
        <v>13</v>
      </c>
      <c r="W54" s="11">
        <v>-329</v>
      </c>
      <c r="X5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18/09/26</v>
      </c>
      <c r="Y5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4" s="14" t="str">
        <f>VLOOKUP(N54,RENOVAÇÃO!A:D,4,0)</f>
        <v>TRILHA SEGURANÇA DO TRABALHO</v>
      </c>
      <c r="AA54" s="6" t="str">
        <f ca="1">CONCATENATE("• ",
    Tabela1[[#This Row],[DESCRICAO]], " - ",Tabela1[[#This Row],[STATUS_GERAL]])</f>
        <v>• NR 33 - SEGURANÇA E SAUDE NOS TRABALHOS EM ESPAÇOS CONFINADOS - VIGIA E TRABALHADOR - EM DIA – vence em 18/09/26</v>
      </c>
    </row>
    <row r="55" spans="1:27" ht="20.399999999999999" x14ac:dyDescent="0.3">
      <c r="A55" s="7">
        <v>2</v>
      </c>
      <c r="B55" s="8" t="s">
        <v>122</v>
      </c>
      <c r="C55" s="9">
        <v>43587</v>
      </c>
      <c r="D55" s="8" t="s">
        <v>110</v>
      </c>
      <c r="E55" s="7">
        <v>5</v>
      </c>
      <c r="F55" s="8" t="s">
        <v>108</v>
      </c>
      <c r="G55" s="8" t="s">
        <v>105</v>
      </c>
      <c r="H55" s="8" t="s">
        <v>125</v>
      </c>
      <c r="I55" s="7">
        <v>168</v>
      </c>
      <c r="J55" s="7">
        <v>5060</v>
      </c>
      <c r="K55" s="8" t="s">
        <v>126</v>
      </c>
      <c r="L55" s="7">
        <v>8</v>
      </c>
      <c r="M55" s="8" t="s">
        <v>99</v>
      </c>
      <c r="N55" s="10" t="s">
        <v>43</v>
      </c>
      <c r="O55" s="10"/>
      <c r="P55" s="10" t="s">
        <v>100</v>
      </c>
      <c r="Q55" s="11">
        <v>1</v>
      </c>
      <c r="R55" s="11">
        <v>1</v>
      </c>
      <c r="S55" s="11">
        <v>114</v>
      </c>
      <c r="T55" s="10" t="s">
        <v>101</v>
      </c>
      <c r="U55" s="12">
        <v>45735</v>
      </c>
      <c r="V55" s="10" t="s">
        <v>44</v>
      </c>
      <c r="W55" s="11">
        <v>-876</v>
      </c>
      <c r="X5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18/03/28</v>
      </c>
      <c r="Y5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5" s="14" t="str">
        <f>VLOOKUP(N55,RENOVAÇÃO!A:D,4,0)</f>
        <v>TRILHA SEGURANÇA DO TRABALHO</v>
      </c>
      <c r="AA55" s="6" t="str">
        <f ca="1">CONCATENATE("• ",
    Tabela1[[#This Row],[DESCRICAO]], " - ",Tabela1[[#This Row],[STATUS_GERAL]])</f>
        <v>• NR 20 - SEG. E TRAB. INFLAMÁVEIS E COMBUSTIVEIS CLASSE III - BASICO - EM DIA – vence em 18/03/28</v>
      </c>
    </row>
    <row r="56" spans="1:27" ht="20.399999999999999" x14ac:dyDescent="0.3">
      <c r="A56" s="7">
        <v>2</v>
      </c>
      <c r="B56" s="8" t="s">
        <v>122</v>
      </c>
      <c r="C56" s="9">
        <v>43587</v>
      </c>
      <c r="D56" s="8" t="s">
        <v>110</v>
      </c>
      <c r="E56" s="7">
        <v>5</v>
      </c>
      <c r="F56" s="8" t="s">
        <v>108</v>
      </c>
      <c r="G56" s="8" t="s">
        <v>105</v>
      </c>
      <c r="H56" s="8" t="s">
        <v>125</v>
      </c>
      <c r="I56" s="7">
        <v>168</v>
      </c>
      <c r="J56" s="7">
        <v>5060</v>
      </c>
      <c r="K56" s="8" t="s">
        <v>126</v>
      </c>
      <c r="L56" s="7">
        <v>28</v>
      </c>
      <c r="M56" s="8" t="s">
        <v>99</v>
      </c>
      <c r="N56" s="10" t="s">
        <v>43</v>
      </c>
      <c r="O56" s="10"/>
      <c r="P56" s="10" t="s">
        <v>100</v>
      </c>
      <c r="Q56" s="11">
        <v>1</v>
      </c>
      <c r="R56" s="11">
        <v>1</v>
      </c>
      <c r="S56" s="11">
        <v>78</v>
      </c>
      <c r="T56" s="10" t="s">
        <v>102</v>
      </c>
      <c r="U56" s="12">
        <v>45602</v>
      </c>
      <c r="V56" s="10" t="s">
        <v>44</v>
      </c>
      <c r="W56" s="11">
        <v>-743</v>
      </c>
      <c r="X5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06/11/27</v>
      </c>
      <c r="Y5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6" s="14" t="str">
        <f>VLOOKUP(N56,RENOVAÇÃO!A:D,4,0)</f>
        <v>TRILHA SEGURANÇA DO TRABALHO</v>
      </c>
      <c r="AA56" s="6" t="str">
        <f ca="1">CONCATENATE("• ",
    Tabela1[[#This Row],[DESCRICAO]], " - ",Tabela1[[#This Row],[STATUS_GERAL]])</f>
        <v>• NR 20 - SEG. E TRAB. INFLAMÁVEIS E COMBUSTIVEIS CLASSE III - BASICO - EM DIA – vence em 06/11/27</v>
      </c>
    </row>
    <row r="57" spans="1:27" ht="20.399999999999999" x14ac:dyDescent="0.3">
      <c r="A57" s="7">
        <v>2</v>
      </c>
      <c r="B57" s="8" t="s">
        <v>122</v>
      </c>
      <c r="C57" s="9">
        <v>43587</v>
      </c>
      <c r="D57" s="8" t="s">
        <v>110</v>
      </c>
      <c r="E57" s="7">
        <v>5</v>
      </c>
      <c r="F57" s="8" t="s">
        <v>108</v>
      </c>
      <c r="G57" s="8" t="s">
        <v>105</v>
      </c>
      <c r="H57" s="8" t="s">
        <v>125</v>
      </c>
      <c r="I57" s="7">
        <v>168</v>
      </c>
      <c r="J57" s="7">
        <v>5060</v>
      </c>
      <c r="K57" s="8" t="s">
        <v>126</v>
      </c>
      <c r="L57" s="7">
        <v>11</v>
      </c>
      <c r="M57" s="8" t="s">
        <v>99</v>
      </c>
      <c r="N57" s="10" t="s">
        <v>49</v>
      </c>
      <c r="O57" s="10"/>
      <c r="P57" s="10" t="s">
        <v>100</v>
      </c>
      <c r="Q57" s="11">
        <v>1</v>
      </c>
      <c r="R57" s="11">
        <v>1</v>
      </c>
      <c r="S57" s="11">
        <v>102</v>
      </c>
      <c r="T57" s="10" t="s">
        <v>106</v>
      </c>
      <c r="U57" s="12">
        <v>45404</v>
      </c>
      <c r="V57" s="10" t="s">
        <v>36</v>
      </c>
      <c r="W57" s="11">
        <v>-180</v>
      </c>
      <c r="X5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22/04/26</v>
      </c>
      <c r="Y5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57" s="14" t="str">
        <f>VLOOKUP(N57,RENOVAÇÃO!A:D,4,0)</f>
        <v>TRILHA SEGURANÇA DO TRABALHO</v>
      </c>
      <c r="AA57" s="6" t="str">
        <f ca="1">CONCATENATE("• ",
    Tabela1[[#This Row],[DESCRICAO]], " - ",Tabela1[[#This Row],[STATUS_GERAL]])</f>
        <v>• NR 35 - TRABALHO EM ALTURA - EM DIA – vence em 22/04/26</v>
      </c>
    </row>
    <row r="58" spans="1:27" ht="20.399999999999999" x14ac:dyDescent="0.3">
      <c r="A58" s="7">
        <v>2</v>
      </c>
      <c r="B58" s="8" t="s">
        <v>122</v>
      </c>
      <c r="C58" s="9">
        <v>43587</v>
      </c>
      <c r="D58" s="8" t="s">
        <v>110</v>
      </c>
      <c r="E58" s="7">
        <v>5</v>
      </c>
      <c r="F58" s="8" t="s">
        <v>108</v>
      </c>
      <c r="G58" s="8" t="s">
        <v>105</v>
      </c>
      <c r="H58" s="8" t="s">
        <v>125</v>
      </c>
      <c r="I58" s="7">
        <v>168</v>
      </c>
      <c r="J58" s="7">
        <v>5060</v>
      </c>
      <c r="K58" s="8" t="s">
        <v>126</v>
      </c>
      <c r="L58" s="7">
        <v>26</v>
      </c>
      <c r="M58" s="8" t="s">
        <v>99</v>
      </c>
      <c r="N58" s="10" t="s">
        <v>109</v>
      </c>
      <c r="O58" s="10"/>
      <c r="P58" s="10" t="s">
        <v>100</v>
      </c>
      <c r="Q58" s="11">
        <v>1</v>
      </c>
      <c r="R58" s="11">
        <v>8</v>
      </c>
      <c r="S58" s="11">
        <v>80</v>
      </c>
      <c r="T58" s="10" t="s">
        <v>104</v>
      </c>
      <c r="U58" s="12">
        <v>44698</v>
      </c>
      <c r="V58" s="10" t="s">
        <v>5</v>
      </c>
      <c r="W58" s="11"/>
      <c r="X5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5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BALSAS</v>
      </c>
      <c r="Z58" s="14" t="str">
        <f>VLOOKUP(N58,RENOVAÇÃO!A:D,4,0)</f>
        <v>TRILHA SEGURANÇA DO TRABALHO</v>
      </c>
      <c r="AA58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59" spans="1:27" ht="20.399999999999999" x14ac:dyDescent="0.3">
      <c r="A59" s="7">
        <v>2</v>
      </c>
      <c r="B59" s="8" t="s">
        <v>122</v>
      </c>
      <c r="C59" s="9">
        <v>43587</v>
      </c>
      <c r="D59" s="8" t="s">
        <v>110</v>
      </c>
      <c r="E59" s="7">
        <v>5</v>
      </c>
      <c r="F59" s="8" t="s">
        <v>108</v>
      </c>
      <c r="G59" s="8" t="s">
        <v>105</v>
      </c>
      <c r="H59" s="8" t="s">
        <v>125</v>
      </c>
      <c r="I59" s="7">
        <v>168</v>
      </c>
      <c r="J59" s="7">
        <v>5060</v>
      </c>
      <c r="K59" s="8" t="s">
        <v>126</v>
      </c>
      <c r="L59" s="7">
        <v>2</v>
      </c>
      <c r="M59" s="8" t="s">
        <v>99</v>
      </c>
      <c r="N59" s="10" t="s">
        <v>45</v>
      </c>
      <c r="O59" s="10"/>
      <c r="P59" s="10" t="s">
        <v>100</v>
      </c>
      <c r="Q59" s="11">
        <v>1</v>
      </c>
      <c r="R59" s="11">
        <v>3</v>
      </c>
      <c r="S59" s="11">
        <v>80</v>
      </c>
      <c r="T59" s="10" t="s">
        <v>104</v>
      </c>
      <c r="U59" s="12">
        <v>45826</v>
      </c>
      <c r="V59" s="10" t="s">
        <v>36</v>
      </c>
      <c r="W59" s="11">
        <v>-602</v>
      </c>
      <c r="X5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18/06/27</v>
      </c>
      <c r="Y5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59" s="14" t="str">
        <f>VLOOKUP(N59,RENOVAÇÃO!A:D,4,0)</f>
        <v>TRILHA SEGURANÇA DO TRABALHO</v>
      </c>
      <c r="AA59" s="6" t="str">
        <f ca="1">CONCATENATE("• ",
    Tabela1[[#This Row],[DESCRICAO]], " - ",Tabela1[[#This Row],[STATUS_GERAL]])</f>
        <v>• NR 20 - SEG. E TRAB. INFLAMÁVEIS E COMBUSTIVEIS CLASSE III - INTERMEDIÁRIO - EM DIA – vence em 18/06/27</v>
      </c>
    </row>
    <row r="60" spans="1:27" ht="20.399999999999999" x14ac:dyDescent="0.3">
      <c r="A60" s="7">
        <v>2</v>
      </c>
      <c r="B60" s="8" t="s">
        <v>122</v>
      </c>
      <c r="C60" s="9">
        <v>43587</v>
      </c>
      <c r="D60" s="8" t="s">
        <v>110</v>
      </c>
      <c r="E60" s="7">
        <v>5</v>
      </c>
      <c r="F60" s="8" t="s">
        <v>108</v>
      </c>
      <c r="G60" s="8" t="s">
        <v>105</v>
      </c>
      <c r="H60" s="8" t="s">
        <v>125</v>
      </c>
      <c r="I60" s="7">
        <v>168</v>
      </c>
      <c r="J60" s="7">
        <v>5060</v>
      </c>
      <c r="K60" s="8" t="s">
        <v>126</v>
      </c>
      <c r="L60" s="7">
        <v>323</v>
      </c>
      <c r="M60" s="8" t="s">
        <v>99</v>
      </c>
      <c r="N60" s="10" t="s">
        <v>48</v>
      </c>
      <c r="O60" s="10"/>
      <c r="P60" s="10" t="s">
        <v>100</v>
      </c>
      <c r="Q60" s="11">
        <v>1</v>
      </c>
      <c r="R60" s="11">
        <v>3</v>
      </c>
      <c r="S60" s="11">
        <v>80</v>
      </c>
      <c r="T60" s="10" t="s">
        <v>104</v>
      </c>
      <c r="U60" s="12">
        <v>45827</v>
      </c>
      <c r="V60" s="10" t="s">
        <v>13</v>
      </c>
      <c r="W60" s="11">
        <v>-238</v>
      </c>
      <c r="X6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19/06/26</v>
      </c>
      <c r="Y6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60" s="14" t="str">
        <f>VLOOKUP(N60,RENOVAÇÃO!A:D,4,0)</f>
        <v>TRILHA SEGURANÇA DO TRABALHO</v>
      </c>
      <c r="AA60" s="6" t="str">
        <f ca="1">CONCATENATE("• ",
    Tabela1[[#This Row],[DESCRICAO]], " - ",Tabela1[[#This Row],[STATUS_GERAL]])</f>
        <v>• NR 33 - SEGURANÇA E SAUDE NOS TRABALHOS EM ESPAÇOS CONFINADOS - VIGIA E TRABALHADOR - EM DIA – vence em 19/06/26</v>
      </c>
    </row>
    <row r="61" spans="1:27" ht="20.399999999999999" x14ac:dyDescent="0.3">
      <c r="A61" s="7">
        <v>2</v>
      </c>
      <c r="B61" s="8" t="s">
        <v>122</v>
      </c>
      <c r="C61" s="9">
        <v>43587</v>
      </c>
      <c r="D61" s="8" t="s">
        <v>110</v>
      </c>
      <c r="E61" s="7">
        <v>5</v>
      </c>
      <c r="F61" s="8" t="s">
        <v>108</v>
      </c>
      <c r="G61" s="8" t="s">
        <v>105</v>
      </c>
      <c r="H61" s="8" t="s">
        <v>125</v>
      </c>
      <c r="I61" s="7">
        <v>168</v>
      </c>
      <c r="J61" s="7">
        <v>5060</v>
      </c>
      <c r="K61" s="8" t="s">
        <v>126</v>
      </c>
      <c r="L61" s="7">
        <v>104</v>
      </c>
      <c r="M61" s="8" t="s">
        <v>99</v>
      </c>
      <c r="N61" s="10" t="s">
        <v>48</v>
      </c>
      <c r="O61" s="10"/>
      <c r="P61" s="10" t="s">
        <v>100</v>
      </c>
      <c r="Q61" s="11">
        <v>1</v>
      </c>
      <c r="R61" s="11">
        <v>8</v>
      </c>
      <c r="S61" s="11">
        <v>80</v>
      </c>
      <c r="T61" s="10" t="s">
        <v>104</v>
      </c>
      <c r="U61" s="12">
        <v>45717</v>
      </c>
      <c r="V61" s="10" t="s">
        <v>13</v>
      </c>
      <c r="W61" s="11">
        <v>-128</v>
      </c>
      <c r="X6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01/03/26</v>
      </c>
      <c r="Y6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BALSAS</v>
      </c>
      <c r="Z61" s="14" t="str">
        <f>VLOOKUP(N61,RENOVAÇÃO!A:D,4,0)</f>
        <v>TRILHA SEGURANÇA DO TRABALHO</v>
      </c>
      <c r="AA61" s="6" t="str">
        <f ca="1">CONCATENATE("• ",
    Tabela1[[#This Row],[DESCRICAO]], " - ",Tabela1[[#This Row],[STATUS_GERAL]])</f>
        <v>• NR 33 - SEGURANÇA E SAUDE NOS TRABALHOS EM ESPAÇOS CONFINADOS - VIGIA E TRABALHADOR - EM DIA – vence em 01/03/26</v>
      </c>
    </row>
    <row r="62" spans="1:27" ht="20.399999999999999" x14ac:dyDescent="0.3">
      <c r="A62" s="7">
        <v>2</v>
      </c>
      <c r="B62" s="8" t="s">
        <v>122</v>
      </c>
      <c r="C62" s="9">
        <v>43587</v>
      </c>
      <c r="D62" s="8" t="s">
        <v>110</v>
      </c>
      <c r="E62" s="7">
        <v>5</v>
      </c>
      <c r="F62" s="8" t="s">
        <v>108</v>
      </c>
      <c r="G62" s="8" t="s">
        <v>105</v>
      </c>
      <c r="H62" s="8" t="s">
        <v>125</v>
      </c>
      <c r="I62" s="7">
        <v>168</v>
      </c>
      <c r="J62" s="7">
        <v>5060</v>
      </c>
      <c r="K62" s="8" t="s">
        <v>126</v>
      </c>
      <c r="L62" s="7">
        <v>302</v>
      </c>
      <c r="M62" s="8" t="s">
        <v>99</v>
      </c>
      <c r="N62" s="10" t="s">
        <v>49</v>
      </c>
      <c r="O62" s="10"/>
      <c r="P62" s="10" t="s">
        <v>100</v>
      </c>
      <c r="Q62" s="11">
        <v>1</v>
      </c>
      <c r="R62" s="11">
        <v>8</v>
      </c>
      <c r="S62" s="11">
        <v>80</v>
      </c>
      <c r="T62" s="10" t="s">
        <v>104</v>
      </c>
      <c r="U62" s="12">
        <v>45569</v>
      </c>
      <c r="V62" s="10" t="s">
        <v>36</v>
      </c>
      <c r="W62" s="11">
        <v>-345</v>
      </c>
      <c r="X6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04/10/26</v>
      </c>
      <c r="Y6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BALSAS</v>
      </c>
      <c r="Z62" s="14" t="str">
        <f>VLOOKUP(N62,RENOVAÇÃO!A:D,4,0)</f>
        <v>TRILHA SEGURANÇA DO TRABALHO</v>
      </c>
      <c r="AA62" s="6" t="str">
        <f ca="1">CONCATENATE("• ",
    Tabela1[[#This Row],[DESCRICAO]], " - ",Tabela1[[#This Row],[STATUS_GERAL]])</f>
        <v>• NR 35 - TRABALHO EM ALTURA - EM DIA – vence em 04/10/26</v>
      </c>
    </row>
    <row r="63" spans="1:27" x14ac:dyDescent="0.3">
      <c r="A63" s="7">
        <v>2</v>
      </c>
      <c r="B63" s="8" t="s">
        <v>122</v>
      </c>
      <c r="C63" s="9">
        <v>43587</v>
      </c>
      <c r="D63" s="8" t="s">
        <v>110</v>
      </c>
      <c r="E63" s="7">
        <v>5</v>
      </c>
      <c r="F63" s="8" t="s">
        <v>108</v>
      </c>
      <c r="G63" s="8" t="s">
        <v>105</v>
      </c>
      <c r="H63" s="8" t="s">
        <v>125</v>
      </c>
      <c r="I63" s="7">
        <v>168</v>
      </c>
      <c r="J63" s="7">
        <v>5060</v>
      </c>
      <c r="K63" s="8" t="s">
        <v>126</v>
      </c>
      <c r="L63" s="7">
        <v>308</v>
      </c>
      <c r="M63" s="8" t="s">
        <v>99</v>
      </c>
      <c r="N63" s="10" t="s">
        <v>21</v>
      </c>
      <c r="O63" s="10"/>
      <c r="P63" s="10" t="s">
        <v>100</v>
      </c>
      <c r="Q63" s="11">
        <v>1</v>
      </c>
      <c r="R63" s="11">
        <v>1</v>
      </c>
      <c r="S63" s="11">
        <v>114</v>
      </c>
      <c r="T63" s="10" t="s">
        <v>101</v>
      </c>
      <c r="U63" s="12">
        <v>44510</v>
      </c>
      <c r="V63" s="10" t="s">
        <v>5</v>
      </c>
      <c r="W63" s="11"/>
      <c r="X6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6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63" s="14" t="str">
        <f>VLOOKUP(N63,RENOVAÇÃO!A:D,4,0)</f>
        <v>TRILHA SEGURANÇA DO TRABALHO</v>
      </c>
      <c r="AA63" s="6" t="str">
        <f ca="1">CONCATENATE("• ",
    Tabela1[[#This Row],[DESCRICAO]], " - ",Tabela1[[#This Row],[STATUS_GERAL]])</f>
        <v>• DIREÇÃO DEFENSIVA - TEÓRICO - EM DIA – não é necessário renovar</v>
      </c>
    </row>
    <row r="64" spans="1:27" ht="20.399999999999999" x14ac:dyDescent="0.3">
      <c r="A64" s="7">
        <v>2</v>
      </c>
      <c r="B64" s="8" t="s">
        <v>122</v>
      </c>
      <c r="C64" s="9">
        <v>43587</v>
      </c>
      <c r="D64" s="8" t="s">
        <v>110</v>
      </c>
      <c r="E64" s="7">
        <v>5</v>
      </c>
      <c r="F64" s="8" t="s">
        <v>108</v>
      </c>
      <c r="G64" s="8" t="s">
        <v>105</v>
      </c>
      <c r="H64" s="8" t="s">
        <v>125</v>
      </c>
      <c r="I64" s="7">
        <v>168</v>
      </c>
      <c r="J64" s="7">
        <v>5060</v>
      </c>
      <c r="K64" s="8" t="s">
        <v>126</v>
      </c>
      <c r="L64" s="7">
        <v>322</v>
      </c>
      <c r="M64" s="8" t="s">
        <v>99</v>
      </c>
      <c r="N64" s="10" t="s">
        <v>41</v>
      </c>
      <c r="O64" s="10"/>
      <c r="P64" s="10" t="s">
        <v>100</v>
      </c>
      <c r="Q64" s="11">
        <v>1</v>
      </c>
      <c r="R64" s="11">
        <v>3</v>
      </c>
      <c r="S64" s="11">
        <v>102</v>
      </c>
      <c r="T64" s="10" t="s">
        <v>106</v>
      </c>
      <c r="U64" s="12">
        <v>44771</v>
      </c>
      <c r="V64" s="10" t="s">
        <v>5</v>
      </c>
      <c r="W64" s="11"/>
      <c r="X6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6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64" s="14" t="str">
        <f>VLOOKUP(N64,RENOVAÇÃO!A:D,4,0)</f>
        <v>TRILHA SEGURANÇA DO TRABALHO</v>
      </c>
      <c r="AA64" s="6" t="str">
        <f ca="1">CONCATENATE("• ",
    Tabela1[[#This Row],[DESCRICAO]], " - ",Tabela1[[#This Row],[STATUS_GERAL]])</f>
        <v>• NR 13 - SEGURANÇA NA OPERAÇÃO VASOS DE PRESSÃO - EM DIA – não é necessário renovar</v>
      </c>
    </row>
    <row r="65" spans="1:27" ht="20.399999999999999" x14ac:dyDescent="0.3">
      <c r="A65" s="7">
        <v>2</v>
      </c>
      <c r="B65" s="8" t="s">
        <v>122</v>
      </c>
      <c r="C65" s="9">
        <v>43587</v>
      </c>
      <c r="D65" s="8" t="s">
        <v>110</v>
      </c>
      <c r="E65" s="7">
        <v>5</v>
      </c>
      <c r="F65" s="8" t="s">
        <v>108</v>
      </c>
      <c r="G65" s="8" t="s">
        <v>105</v>
      </c>
      <c r="H65" s="8" t="s">
        <v>125</v>
      </c>
      <c r="I65" s="7">
        <v>168</v>
      </c>
      <c r="J65" s="7">
        <v>5060</v>
      </c>
      <c r="K65" s="8" t="s">
        <v>126</v>
      </c>
      <c r="L65" s="7">
        <v>320</v>
      </c>
      <c r="M65" s="8" t="s">
        <v>99</v>
      </c>
      <c r="N65" s="10" t="s">
        <v>39</v>
      </c>
      <c r="O65" s="10"/>
      <c r="P65" s="10" t="s">
        <v>100</v>
      </c>
      <c r="Q65" s="11">
        <v>1</v>
      </c>
      <c r="R65" s="11">
        <v>1</v>
      </c>
      <c r="S65" s="11">
        <v>80</v>
      </c>
      <c r="T65" s="10" t="s">
        <v>104</v>
      </c>
      <c r="U65" s="12">
        <v>45181</v>
      </c>
      <c r="V65" s="10" t="s">
        <v>36</v>
      </c>
      <c r="W65" s="11">
        <v>43</v>
      </c>
      <c r="X6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VENCIDO – 11/09/25</v>
      </c>
      <c r="Y6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65" s="14" t="str">
        <f>VLOOKUP(N65,RENOVAÇÃO!A:D,4,0)</f>
        <v>TRILHA SEGURANÇA DO TRABALHO</v>
      </c>
      <c r="AA65" s="6" t="str">
        <f ca="1">CONCATENATE("• ",
    Tabela1[[#This Row],[DESCRICAO]], " - ",Tabela1[[#This Row],[STATUS_GERAL]])</f>
        <v>• NR 11 - OPERAÇÃO DE TALHAS E PONTE ROLANTE - VENCIDO – 11/09/25</v>
      </c>
    </row>
    <row r="66" spans="1:27" ht="20.399999999999999" x14ac:dyDescent="0.3">
      <c r="A66" s="7">
        <v>2</v>
      </c>
      <c r="B66" s="8" t="s">
        <v>122</v>
      </c>
      <c r="C66" s="9">
        <v>43587</v>
      </c>
      <c r="D66" s="8" t="s">
        <v>110</v>
      </c>
      <c r="E66" s="7">
        <v>5</v>
      </c>
      <c r="F66" s="8" t="s">
        <v>108</v>
      </c>
      <c r="G66" s="8" t="s">
        <v>105</v>
      </c>
      <c r="H66" s="8" t="s">
        <v>125</v>
      </c>
      <c r="I66" s="7">
        <v>168</v>
      </c>
      <c r="J66" s="7">
        <v>5060</v>
      </c>
      <c r="K66" s="8" t="s">
        <v>126</v>
      </c>
      <c r="L66" s="7">
        <v>129</v>
      </c>
      <c r="M66" s="8" t="s">
        <v>99</v>
      </c>
      <c r="N66" s="10" t="s">
        <v>49</v>
      </c>
      <c r="O66" s="10"/>
      <c r="P66" s="10" t="s">
        <v>100</v>
      </c>
      <c r="Q66" s="11">
        <v>1</v>
      </c>
      <c r="R66" s="11">
        <v>3</v>
      </c>
      <c r="S66" s="11">
        <v>102</v>
      </c>
      <c r="T66" s="10" t="s">
        <v>106</v>
      </c>
      <c r="U66" s="12">
        <v>45349</v>
      </c>
      <c r="V66" s="10" t="s">
        <v>36</v>
      </c>
      <c r="W66" s="11">
        <v>-125</v>
      </c>
      <c r="X6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26/02/26</v>
      </c>
      <c r="Y6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66" s="14" t="str">
        <f>VLOOKUP(N66,RENOVAÇÃO!A:D,4,0)</f>
        <v>TRILHA SEGURANÇA DO TRABALHO</v>
      </c>
      <c r="AA66" s="6" t="str">
        <f ca="1">CONCATENATE("• ",
    Tabela1[[#This Row],[DESCRICAO]], " - ",Tabela1[[#This Row],[STATUS_GERAL]])</f>
        <v>• NR 35 - TRABALHO EM ALTURA - EM DIA – vence em 26/02/26</v>
      </c>
    </row>
    <row r="67" spans="1:27" ht="20.399999999999999" x14ac:dyDescent="0.3">
      <c r="A67" s="7">
        <v>2</v>
      </c>
      <c r="B67" s="8" t="s">
        <v>122</v>
      </c>
      <c r="C67" s="9">
        <v>43587</v>
      </c>
      <c r="D67" s="8" t="s">
        <v>110</v>
      </c>
      <c r="E67" s="7">
        <v>5</v>
      </c>
      <c r="F67" s="8" t="s">
        <v>108</v>
      </c>
      <c r="G67" s="8" t="s">
        <v>105</v>
      </c>
      <c r="H67" s="8" t="s">
        <v>125</v>
      </c>
      <c r="I67" s="7">
        <v>168</v>
      </c>
      <c r="J67" s="7">
        <v>5060</v>
      </c>
      <c r="K67" s="8" t="s">
        <v>126</v>
      </c>
      <c r="L67" s="7">
        <v>317</v>
      </c>
      <c r="M67" s="8" t="s">
        <v>99</v>
      </c>
      <c r="N67" s="10" t="s">
        <v>43</v>
      </c>
      <c r="O67" s="10"/>
      <c r="P67" s="10" t="s">
        <v>100</v>
      </c>
      <c r="Q67" s="11">
        <v>1</v>
      </c>
      <c r="R67" s="11">
        <v>1</v>
      </c>
      <c r="S67" s="11">
        <v>113</v>
      </c>
      <c r="T67" s="10" t="s">
        <v>107</v>
      </c>
      <c r="U67" s="12">
        <v>45735</v>
      </c>
      <c r="V67" s="10" t="s">
        <v>44</v>
      </c>
      <c r="W67" s="11">
        <v>-876</v>
      </c>
      <c r="X6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18/03/28</v>
      </c>
      <c r="Y6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67" s="14" t="str">
        <f>VLOOKUP(N67,RENOVAÇÃO!A:D,4,0)</f>
        <v>TRILHA SEGURANÇA DO TRABALHO</v>
      </c>
      <c r="AA67" s="6" t="str">
        <f ca="1">CONCATENATE("• ",
    Tabela1[[#This Row],[DESCRICAO]], " - ",Tabela1[[#This Row],[STATUS_GERAL]])</f>
        <v>• NR 20 - SEG. E TRAB. INFLAMÁVEIS E COMBUSTIVEIS CLASSE III - BASICO - EM DIA – vence em 18/03/28</v>
      </c>
    </row>
    <row r="68" spans="1:27" ht="20.399999999999999" x14ac:dyDescent="0.3">
      <c r="A68" s="7">
        <v>2</v>
      </c>
      <c r="B68" s="8" t="s">
        <v>122</v>
      </c>
      <c r="C68" s="9">
        <v>43587</v>
      </c>
      <c r="D68" s="8" t="s">
        <v>110</v>
      </c>
      <c r="E68" s="7">
        <v>5</v>
      </c>
      <c r="F68" s="8" t="s">
        <v>108</v>
      </c>
      <c r="G68" s="8" t="s">
        <v>105</v>
      </c>
      <c r="H68" s="8" t="s">
        <v>125</v>
      </c>
      <c r="I68" s="7">
        <v>168</v>
      </c>
      <c r="J68" s="7">
        <v>5060</v>
      </c>
      <c r="K68" s="8" t="s">
        <v>126</v>
      </c>
      <c r="L68" s="7">
        <v>318</v>
      </c>
      <c r="M68" s="8" t="s">
        <v>99</v>
      </c>
      <c r="N68" s="10" t="s">
        <v>43</v>
      </c>
      <c r="O68" s="10"/>
      <c r="P68" s="10" t="s">
        <v>100</v>
      </c>
      <c r="Q68" s="11">
        <v>1</v>
      </c>
      <c r="R68" s="11">
        <v>2</v>
      </c>
      <c r="S68" s="11">
        <v>78</v>
      </c>
      <c r="T68" s="10" t="s">
        <v>102</v>
      </c>
      <c r="U68" s="12">
        <v>45876</v>
      </c>
      <c r="V68" s="10" t="s">
        <v>44</v>
      </c>
      <c r="W68" s="11">
        <v>-1017</v>
      </c>
      <c r="X6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06/08/28</v>
      </c>
      <c r="Y6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DOURADOS</v>
      </c>
      <c r="Z68" s="14" t="str">
        <f>VLOOKUP(N68,RENOVAÇÃO!A:D,4,0)</f>
        <v>TRILHA SEGURANÇA DO TRABALHO</v>
      </c>
      <c r="AA68" s="6" t="str">
        <f ca="1">CONCATENATE("• ",
    Tabela1[[#This Row],[DESCRICAO]], " - ",Tabela1[[#This Row],[STATUS_GERAL]])</f>
        <v>• NR 20 - SEG. E TRAB. INFLAMÁVEIS E COMBUSTIVEIS CLASSE III - BASICO - EM DIA – vence em 06/08/28</v>
      </c>
    </row>
    <row r="69" spans="1:27" ht="20.399999999999999" x14ac:dyDescent="0.3">
      <c r="A69" s="7">
        <v>2</v>
      </c>
      <c r="B69" s="8" t="s">
        <v>122</v>
      </c>
      <c r="C69" s="9">
        <v>43587</v>
      </c>
      <c r="D69" s="8" t="s">
        <v>110</v>
      </c>
      <c r="E69" s="7">
        <v>5</v>
      </c>
      <c r="F69" s="8" t="s">
        <v>108</v>
      </c>
      <c r="G69" s="8" t="s">
        <v>105</v>
      </c>
      <c r="H69" s="8" t="s">
        <v>125</v>
      </c>
      <c r="I69" s="7">
        <v>168</v>
      </c>
      <c r="J69" s="7">
        <v>5060</v>
      </c>
      <c r="K69" s="8" t="s">
        <v>126</v>
      </c>
      <c r="L69" s="7">
        <v>200</v>
      </c>
      <c r="M69" s="8" t="s">
        <v>99</v>
      </c>
      <c r="N69" s="10" t="s">
        <v>49</v>
      </c>
      <c r="O69" s="10"/>
      <c r="P69" s="10" t="s">
        <v>100</v>
      </c>
      <c r="Q69" s="11">
        <v>1</v>
      </c>
      <c r="R69" s="11">
        <v>3</v>
      </c>
      <c r="S69" s="11">
        <v>102</v>
      </c>
      <c r="T69" s="10" t="s">
        <v>106</v>
      </c>
      <c r="U69" s="12">
        <v>45365</v>
      </c>
      <c r="V69" s="10" t="s">
        <v>36</v>
      </c>
      <c r="W69" s="11">
        <v>-141</v>
      </c>
      <c r="X6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14/03/26</v>
      </c>
      <c r="Y6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69" s="14" t="str">
        <f>VLOOKUP(N69,RENOVAÇÃO!A:D,4,0)</f>
        <v>TRILHA SEGURANÇA DO TRABALHO</v>
      </c>
      <c r="AA69" s="6" t="str">
        <f ca="1">CONCATENATE("• ",
    Tabela1[[#This Row],[DESCRICAO]], " - ",Tabela1[[#This Row],[STATUS_GERAL]])</f>
        <v>• NR 35 - TRABALHO EM ALTURA - EM DIA – vence em 14/03/26</v>
      </c>
    </row>
    <row r="70" spans="1:27" ht="20.399999999999999" x14ac:dyDescent="0.3">
      <c r="A70" s="7">
        <v>2</v>
      </c>
      <c r="B70" s="8" t="s">
        <v>122</v>
      </c>
      <c r="C70" s="9">
        <v>43587</v>
      </c>
      <c r="D70" s="8" t="s">
        <v>110</v>
      </c>
      <c r="E70" s="7">
        <v>5</v>
      </c>
      <c r="F70" s="8" t="s">
        <v>108</v>
      </c>
      <c r="G70" s="8" t="s">
        <v>105</v>
      </c>
      <c r="H70" s="8" t="s">
        <v>125</v>
      </c>
      <c r="I70" s="7">
        <v>168</v>
      </c>
      <c r="J70" s="7">
        <v>5060</v>
      </c>
      <c r="K70" s="8" t="s">
        <v>126</v>
      </c>
      <c r="L70" s="7">
        <v>271</v>
      </c>
      <c r="M70" s="8" t="s">
        <v>99</v>
      </c>
      <c r="N70" s="10" t="s">
        <v>42</v>
      </c>
      <c r="O70" s="10"/>
      <c r="P70" s="10" t="s">
        <v>100</v>
      </c>
      <c r="Q70" s="11">
        <v>1</v>
      </c>
      <c r="R70" s="11">
        <v>3</v>
      </c>
      <c r="S70" s="11">
        <v>102</v>
      </c>
      <c r="T70" s="10" t="s">
        <v>106</v>
      </c>
      <c r="U70" s="12">
        <v>45807</v>
      </c>
      <c r="V70" s="10" t="s">
        <v>13</v>
      </c>
      <c r="W70" s="11">
        <v>-218</v>
      </c>
      <c r="X7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30/05/26</v>
      </c>
      <c r="Y7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70" s="14" t="str">
        <f>VLOOKUP(N70,RENOVAÇÃO!A:D,4,0)</f>
        <v>TRILHA SEGURANÇA DO TRABALHO</v>
      </c>
      <c r="AA70" s="6" t="str">
        <f ca="1">CONCATENATE("• ",
    Tabela1[[#This Row],[DESCRICAO]], " - ",Tabela1[[#This Row],[STATUS_GERAL]])</f>
        <v>• NR 20 - SEG. E TRAB. INFLAMÁVEIS E COMBUSTIVEIS CLASSE III - AVANÇADO - EM DIA – vence em 30/05/26</v>
      </c>
    </row>
    <row r="71" spans="1:27" ht="20.399999999999999" x14ac:dyDescent="0.3">
      <c r="A71" s="7">
        <v>2</v>
      </c>
      <c r="B71" s="8" t="s">
        <v>122</v>
      </c>
      <c r="C71" s="9">
        <v>43587</v>
      </c>
      <c r="D71" s="8" t="s">
        <v>110</v>
      </c>
      <c r="E71" s="7">
        <v>5</v>
      </c>
      <c r="F71" s="8" t="s">
        <v>108</v>
      </c>
      <c r="G71" s="8" t="s">
        <v>105</v>
      </c>
      <c r="H71" s="8" t="s">
        <v>125</v>
      </c>
      <c r="I71" s="7">
        <v>168</v>
      </c>
      <c r="J71" s="7">
        <v>5060</v>
      </c>
      <c r="K71" s="8" t="s">
        <v>126</v>
      </c>
      <c r="L71" s="7">
        <v>321</v>
      </c>
      <c r="M71" s="8" t="s">
        <v>99</v>
      </c>
      <c r="N71" s="10" t="s">
        <v>41</v>
      </c>
      <c r="O71" s="10"/>
      <c r="P71" s="10" t="s">
        <v>100</v>
      </c>
      <c r="Q71" s="11">
        <v>1</v>
      </c>
      <c r="R71" s="11">
        <v>3</v>
      </c>
      <c r="S71" s="11">
        <v>102</v>
      </c>
      <c r="T71" s="10" t="s">
        <v>106</v>
      </c>
      <c r="U71" s="12">
        <v>44359</v>
      </c>
      <c r="V71" s="10" t="s">
        <v>5</v>
      </c>
      <c r="W71" s="11"/>
      <c r="X7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7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71" s="14" t="str">
        <f>VLOOKUP(N71,RENOVAÇÃO!A:D,4,0)</f>
        <v>TRILHA SEGURANÇA DO TRABALHO</v>
      </c>
      <c r="AA71" s="6" t="str">
        <f ca="1">CONCATENATE("• ",
    Tabela1[[#This Row],[DESCRICAO]], " - ",Tabela1[[#This Row],[STATUS_GERAL]])</f>
        <v>• NR 13 - SEGURANÇA NA OPERAÇÃO VASOS DE PRESSÃO - EM DIA – não é necessário renovar</v>
      </c>
    </row>
    <row r="72" spans="1:27" ht="20.399999999999999" x14ac:dyDescent="0.3">
      <c r="A72" s="7">
        <v>4</v>
      </c>
      <c r="B72" s="8" t="s">
        <v>124</v>
      </c>
      <c r="C72" s="9">
        <v>43767</v>
      </c>
      <c r="D72" s="8" t="s">
        <v>110</v>
      </c>
      <c r="E72" s="7">
        <v>5</v>
      </c>
      <c r="F72" s="8" t="s">
        <v>108</v>
      </c>
      <c r="G72" s="8" t="s">
        <v>105</v>
      </c>
      <c r="H72" s="8" t="s">
        <v>125</v>
      </c>
      <c r="I72" s="7">
        <v>168</v>
      </c>
      <c r="J72" s="7">
        <v>5058</v>
      </c>
      <c r="K72" s="8" t="s">
        <v>126</v>
      </c>
      <c r="L72" s="7">
        <v>82</v>
      </c>
      <c r="M72" s="8" t="s">
        <v>99</v>
      </c>
      <c r="N72" s="10" t="s">
        <v>42</v>
      </c>
      <c r="O72" s="10"/>
      <c r="P72" s="10" t="s">
        <v>100</v>
      </c>
      <c r="Q72" s="11">
        <v>1</v>
      </c>
      <c r="R72" s="11">
        <v>3</v>
      </c>
      <c r="S72" s="11">
        <v>102</v>
      </c>
      <c r="T72" s="10" t="s">
        <v>106</v>
      </c>
      <c r="U72" s="12">
        <v>45793</v>
      </c>
      <c r="V72" s="10" t="s">
        <v>13</v>
      </c>
      <c r="W72" s="11">
        <v>-204</v>
      </c>
      <c r="X7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16/05/26</v>
      </c>
      <c r="Y7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72" s="14" t="str">
        <f>VLOOKUP(N72,RENOVAÇÃO!A:D,4,0)</f>
        <v>TRILHA SEGURANÇA DO TRABALHO</v>
      </c>
      <c r="AA72" s="6" t="str">
        <f ca="1">CONCATENATE("• ",
    Tabela1[[#This Row],[DESCRICAO]], " - ",Tabela1[[#This Row],[STATUS_GERAL]])</f>
        <v>• NR 20 - SEG. E TRAB. INFLAMÁVEIS E COMBUSTIVEIS CLASSE III - AVANÇADO - EM DIA – vence em 16/05/26</v>
      </c>
    </row>
    <row r="73" spans="1:27" ht="20.399999999999999" x14ac:dyDescent="0.3">
      <c r="A73" s="7">
        <v>4</v>
      </c>
      <c r="B73" s="8" t="s">
        <v>124</v>
      </c>
      <c r="C73" s="9">
        <v>43767</v>
      </c>
      <c r="D73" s="8" t="s">
        <v>110</v>
      </c>
      <c r="E73" s="7">
        <v>5</v>
      </c>
      <c r="F73" s="8" t="s">
        <v>108</v>
      </c>
      <c r="G73" s="8" t="s">
        <v>105</v>
      </c>
      <c r="H73" s="8" t="s">
        <v>125</v>
      </c>
      <c r="I73" s="7">
        <v>168</v>
      </c>
      <c r="J73" s="7">
        <v>5058</v>
      </c>
      <c r="K73" s="8" t="s">
        <v>126</v>
      </c>
      <c r="L73" s="7">
        <v>271</v>
      </c>
      <c r="M73" s="8" t="s">
        <v>99</v>
      </c>
      <c r="N73" s="10" t="s">
        <v>48</v>
      </c>
      <c r="O73" s="10"/>
      <c r="P73" s="10" t="s">
        <v>100</v>
      </c>
      <c r="Q73" s="11">
        <v>1</v>
      </c>
      <c r="R73" s="11">
        <v>3</v>
      </c>
      <c r="S73" s="11">
        <v>80</v>
      </c>
      <c r="T73" s="10" t="s">
        <v>104</v>
      </c>
      <c r="U73" s="12">
        <v>45827</v>
      </c>
      <c r="V73" s="10" t="s">
        <v>13</v>
      </c>
      <c r="W73" s="11">
        <v>-238</v>
      </c>
      <c r="X7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19/06/26</v>
      </c>
      <c r="Y7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73" s="14" t="str">
        <f>VLOOKUP(N73,RENOVAÇÃO!A:D,4,0)</f>
        <v>TRILHA SEGURANÇA DO TRABALHO</v>
      </c>
      <c r="AA73" s="6" t="str">
        <f ca="1">CONCATENATE("• ",
    Tabela1[[#This Row],[DESCRICAO]], " - ",Tabela1[[#This Row],[STATUS_GERAL]])</f>
        <v>• NR 33 - SEGURANÇA E SAUDE NOS TRABALHOS EM ESPAÇOS CONFINADOS - VIGIA E TRABALHADOR - EM DIA – vence em 19/06/26</v>
      </c>
    </row>
    <row r="74" spans="1:27" x14ac:dyDescent="0.3">
      <c r="A74" s="7">
        <v>4</v>
      </c>
      <c r="B74" s="8" t="s">
        <v>124</v>
      </c>
      <c r="C74" s="9">
        <v>43767</v>
      </c>
      <c r="D74" s="8" t="s">
        <v>110</v>
      </c>
      <c r="E74" s="7">
        <v>5</v>
      </c>
      <c r="F74" s="8" t="s">
        <v>108</v>
      </c>
      <c r="G74" s="8" t="s">
        <v>105</v>
      </c>
      <c r="H74" s="8" t="s">
        <v>125</v>
      </c>
      <c r="I74" s="7">
        <v>168</v>
      </c>
      <c r="J74" s="7">
        <v>5058</v>
      </c>
      <c r="K74" s="8" t="s">
        <v>126</v>
      </c>
      <c r="L74" s="7">
        <v>319</v>
      </c>
      <c r="M74" s="8" t="s">
        <v>99</v>
      </c>
      <c r="N74" s="10" t="s">
        <v>49</v>
      </c>
      <c r="O74" s="10"/>
      <c r="P74" s="10" t="s">
        <v>100</v>
      </c>
      <c r="Q74" s="11">
        <v>1</v>
      </c>
      <c r="R74" s="11">
        <v>3</v>
      </c>
      <c r="S74" s="11">
        <v>114</v>
      </c>
      <c r="T74" s="10" t="s">
        <v>101</v>
      </c>
      <c r="U74" s="12">
        <v>45694</v>
      </c>
      <c r="V74" s="10" t="s">
        <v>36</v>
      </c>
      <c r="W74" s="11">
        <v>-470</v>
      </c>
      <c r="X7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06/02/27</v>
      </c>
      <c r="Y7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74" s="14" t="str">
        <f>VLOOKUP(N74,RENOVAÇÃO!A:D,4,0)</f>
        <v>TRILHA SEGURANÇA DO TRABALHO</v>
      </c>
      <c r="AA74" s="6" t="str">
        <f ca="1">CONCATENATE("• ",
    Tabela1[[#This Row],[DESCRICAO]], " - ",Tabela1[[#This Row],[STATUS_GERAL]])</f>
        <v>• NR 35 - TRABALHO EM ALTURA - EM DIA – vence em 06/02/27</v>
      </c>
    </row>
    <row r="75" spans="1:27" ht="20.399999999999999" x14ac:dyDescent="0.3">
      <c r="A75" s="7">
        <v>4</v>
      </c>
      <c r="B75" s="8" t="s">
        <v>124</v>
      </c>
      <c r="C75" s="9">
        <v>43767</v>
      </c>
      <c r="D75" s="8" t="s">
        <v>110</v>
      </c>
      <c r="E75" s="7">
        <v>5</v>
      </c>
      <c r="F75" s="8" t="s">
        <v>108</v>
      </c>
      <c r="G75" s="8" t="s">
        <v>105</v>
      </c>
      <c r="H75" s="8" t="s">
        <v>125</v>
      </c>
      <c r="I75" s="7">
        <v>168</v>
      </c>
      <c r="J75" s="7">
        <v>5058</v>
      </c>
      <c r="K75" s="8" t="s">
        <v>126</v>
      </c>
      <c r="L75" s="7">
        <v>11</v>
      </c>
      <c r="M75" s="8" t="s">
        <v>99</v>
      </c>
      <c r="N75" s="10" t="s">
        <v>49</v>
      </c>
      <c r="O75" s="10"/>
      <c r="P75" s="10" t="s">
        <v>100</v>
      </c>
      <c r="Q75" s="11">
        <v>1</v>
      </c>
      <c r="R75" s="11">
        <v>2</v>
      </c>
      <c r="S75" s="11">
        <v>102</v>
      </c>
      <c r="T75" s="10" t="s">
        <v>106</v>
      </c>
      <c r="U75" s="12">
        <v>45426</v>
      </c>
      <c r="V75" s="10" t="s">
        <v>36</v>
      </c>
      <c r="W75" s="11">
        <v>-202</v>
      </c>
      <c r="X7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14/05/26</v>
      </c>
      <c r="Y7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DOURADOS</v>
      </c>
      <c r="Z75" s="14" t="str">
        <f>VLOOKUP(N75,RENOVAÇÃO!A:D,4,0)</f>
        <v>TRILHA SEGURANÇA DO TRABALHO</v>
      </c>
      <c r="AA75" s="6" t="str">
        <f ca="1">CONCATENATE("• ",
    Tabela1[[#This Row],[DESCRICAO]], " - ",Tabela1[[#This Row],[STATUS_GERAL]])</f>
        <v>• NR 35 - TRABALHO EM ALTURA - EM DIA – vence em 14/05/26</v>
      </c>
    </row>
    <row r="76" spans="1:27" ht="20.399999999999999" x14ac:dyDescent="0.3">
      <c r="A76" s="7">
        <v>4</v>
      </c>
      <c r="B76" s="8" t="s">
        <v>124</v>
      </c>
      <c r="C76" s="9">
        <v>43767</v>
      </c>
      <c r="D76" s="8" t="s">
        <v>110</v>
      </c>
      <c r="E76" s="7">
        <v>5</v>
      </c>
      <c r="F76" s="8" t="s">
        <v>108</v>
      </c>
      <c r="G76" s="8" t="s">
        <v>105</v>
      </c>
      <c r="H76" s="8" t="s">
        <v>125</v>
      </c>
      <c r="I76" s="7">
        <v>168</v>
      </c>
      <c r="J76" s="7">
        <v>5058</v>
      </c>
      <c r="K76" s="8" t="s">
        <v>126</v>
      </c>
      <c r="L76" s="7">
        <v>8</v>
      </c>
      <c r="M76" s="8" t="s">
        <v>99</v>
      </c>
      <c r="N76" s="10" t="s">
        <v>49</v>
      </c>
      <c r="O76" s="10"/>
      <c r="P76" s="10" t="s">
        <v>100</v>
      </c>
      <c r="Q76" s="11">
        <v>1</v>
      </c>
      <c r="R76" s="11">
        <v>10</v>
      </c>
      <c r="S76" s="11">
        <v>102</v>
      </c>
      <c r="T76" s="10" t="s">
        <v>106</v>
      </c>
      <c r="U76" s="12">
        <v>45708</v>
      </c>
      <c r="V76" s="10" t="s">
        <v>36</v>
      </c>
      <c r="W76" s="11">
        <v>-484</v>
      </c>
      <c r="X7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20/02/27</v>
      </c>
      <c r="Y7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LUIS EDUARDO MAGALHÃES</v>
      </c>
      <c r="Z76" s="14" t="str">
        <f>VLOOKUP(N76,RENOVAÇÃO!A:D,4,0)</f>
        <v>TRILHA SEGURANÇA DO TRABALHO</v>
      </c>
      <c r="AA76" s="6" t="str">
        <f ca="1">CONCATENATE("• ",
    Tabela1[[#This Row],[DESCRICAO]], " - ",Tabela1[[#This Row],[STATUS_GERAL]])</f>
        <v>• NR 35 - TRABALHO EM ALTURA - EM DIA – vence em 20/02/27</v>
      </c>
    </row>
    <row r="77" spans="1:27" x14ac:dyDescent="0.3">
      <c r="A77" s="7">
        <v>4</v>
      </c>
      <c r="B77" s="8" t="s">
        <v>124</v>
      </c>
      <c r="C77" s="9">
        <v>43767</v>
      </c>
      <c r="D77" s="8" t="s">
        <v>110</v>
      </c>
      <c r="E77" s="7">
        <v>5</v>
      </c>
      <c r="F77" s="8" t="s">
        <v>108</v>
      </c>
      <c r="G77" s="8" t="s">
        <v>105</v>
      </c>
      <c r="H77" s="8" t="s">
        <v>125</v>
      </c>
      <c r="I77" s="7">
        <v>168</v>
      </c>
      <c r="J77" s="7">
        <v>5058</v>
      </c>
      <c r="K77" s="8" t="s">
        <v>126</v>
      </c>
      <c r="L77" s="7">
        <v>28</v>
      </c>
      <c r="M77" s="8" t="s">
        <v>99</v>
      </c>
      <c r="N77" s="10" t="s">
        <v>37</v>
      </c>
      <c r="O77" s="10"/>
      <c r="P77" s="10" t="s">
        <v>100</v>
      </c>
      <c r="Q77" s="11">
        <v>1</v>
      </c>
      <c r="R77" s="11">
        <v>1</v>
      </c>
      <c r="S77" s="11">
        <v>114</v>
      </c>
      <c r="T77" s="10" t="s">
        <v>101</v>
      </c>
      <c r="U77" s="12">
        <v>45462</v>
      </c>
      <c r="V77" s="10" t="s">
        <v>36</v>
      </c>
      <c r="W77" s="11">
        <v>-238</v>
      </c>
      <c r="X7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19/06/26</v>
      </c>
      <c r="Y7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77" s="14" t="str">
        <f>VLOOKUP(N77,RENOVAÇÃO!A:D,4,0)</f>
        <v>TRILHA SEGURANÇA DO TRABALHO</v>
      </c>
      <c r="AA77" s="6" t="str">
        <f ca="1">CONCATENATE("• ",
    Tabela1[[#This Row],[DESCRICAO]], " - ",Tabela1[[#This Row],[STATUS_GERAL]])</f>
        <v>• NR 11 - OPERADOR PA CARREGADEIRA - EM DIA – vence em 19/06/26</v>
      </c>
    </row>
    <row r="78" spans="1:27" ht="20.399999999999999" x14ac:dyDescent="0.3">
      <c r="A78" s="7">
        <v>4</v>
      </c>
      <c r="B78" s="8" t="s">
        <v>124</v>
      </c>
      <c r="C78" s="9">
        <v>43767</v>
      </c>
      <c r="D78" s="8" t="s">
        <v>110</v>
      </c>
      <c r="E78" s="7">
        <v>5</v>
      </c>
      <c r="F78" s="8" t="s">
        <v>108</v>
      </c>
      <c r="G78" s="8" t="s">
        <v>105</v>
      </c>
      <c r="H78" s="8" t="s">
        <v>125</v>
      </c>
      <c r="I78" s="7">
        <v>168</v>
      </c>
      <c r="J78" s="7">
        <v>5058</v>
      </c>
      <c r="K78" s="8" t="s">
        <v>126</v>
      </c>
      <c r="L78" s="7">
        <v>1</v>
      </c>
      <c r="M78" s="8" t="s">
        <v>99</v>
      </c>
      <c r="N78" s="10" t="s">
        <v>48</v>
      </c>
      <c r="O78" s="10"/>
      <c r="P78" s="10" t="s">
        <v>100</v>
      </c>
      <c r="Q78" s="11">
        <v>1</v>
      </c>
      <c r="R78" s="11">
        <v>1</v>
      </c>
      <c r="S78" s="11">
        <v>102</v>
      </c>
      <c r="T78" s="10" t="s">
        <v>106</v>
      </c>
      <c r="U78" s="12">
        <v>45785</v>
      </c>
      <c r="V78" s="10" t="s">
        <v>13</v>
      </c>
      <c r="W78" s="11">
        <v>-196</v>
      </c>
      <c r="X7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08/05/26</v>
      </c>
      <c r="Y7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78" s="14" t="str">
        <f>VLOOKUP(N78,RENOVAÇÃO!A:D,4,0)</f>
        <v>TRILHA SEGURANÇA DO TRABALHO</v>
      </c>
      <c r="AA78" s="6" t="str">
        <f ca="1">CONCATENATE("• ",
    Tabela1[[#This Row],[DESCRICAO]], " - ",Tabela1[[#This Row],[STATUS_GERAL]])</f>
        <v>• NR 33 - SEGURANÇA E SAUDE NOS TRABALHOS EM ESPAÇOS CONFINADOS - VIGIA E TRABALHADOR - EM DIA – vence em 08/05/26</v>
      </c>
    </row>
    <row r="79" spans="1:27" ht="20.399999999999999" x14ac:dyDescent="0.3">
      <c r="A79" s="7">
        <v>4</v>
      </c>
      <c r="B79" s="8" t="s">
        <v>124</v>
      </c>
      <c r="C79" s="9">
        <v>43767</v>
      </c>
      <c r="D79" s="8" t="s">
        <v>110</v>
      </c>
      <c r="E79" s="7">
        <v>5</v>
      </c>
      <c r="F79" s="8" t="s">
        <v>108</v>
      </c>
      <c r="G79" s="8" t="s">
        <v>105</v>
      </c>
      <c r="H79" s="8" t="s">
        <v>125</v>
      </c>
      <c r="I79" s="7">
        <v>168</v>
      </c>
      <c r="J79" s="7">
        <v>5058</v>
      </c>
      <c r="K79" s="8" t="s">
        <v>126</v>
      </c>
      <c r="L79" s="7">
        <v>262</v>
      </c>
      <c r="M79" s="8" t="s">
        <v>99</v>
      </c>
      <c r="N79" s="10" t="s">
        <v>48</v>
      </c>
      <c r="O79" s="10"/>
      <c r="P79" s="10" t="s">
        <v>100</v>
      </c>
      <c r="Q79" s="11">
        <v>1</v>
      </c>
      <c r="R79" s="11">
        <v>3</v>
      </c>
      <c r="S79" s="11">
        <v>114</v>
      </c>
      <c r="T79" s="10" t="s">
        <v>101</v>
      </c>
      <c r="U79" s="12">
        <v>45890</v>
      </c>
      <c r="V79" s="10" t="s">
        <v>13</v>
      </c>
      <c r="W79" s="11">
        <v>-301</v>
      </c>
      <c r="X7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21/08/26</v>
      </c>
      <c r="Y7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79" s="14" t="str">
        <f>VLOOKUP(N79,RENOVAÇÃO!A:D,4,0)</f>
        <v>TRILHA SEGURANÇA DO TRABALHO</v>
      </c>
      <c r="AA79" s="6" t="str">
        <f ca="1">CONCATENATE("• ",
    Tabela1[[#This Row],[DESCRICAO]], " - ",Tabela1[[#This Row],[STATUS_GERAL]])</f>
        <v>• NR 33 - SEGURANÇA E SAUDE NOS TRABALHOS EM ESPAÇOS CONFINADOS - VIGIA E TRABALHADOR - EM DIA – vence em 21/08/26</v>
      </c>
    </row>
    <row r="80" spans="1:27" ht="20.399999999999999" x14ac:dyDescent="0.3">
      <c r="A80" s="7">
        <v>4</v>
      </c>
      <c r="B80" s="8" t="s">
        <v>124</v>
      </c>
      <c r="C80" s="9">
        <v>43767</v>
      </c>
      <c r="D80" s="8" t="s">
        <v>110</v>
      </c>
      <c r="E80" s="7">
        <v>5</v>
      </c>
      <c r="F80" s="8" t="s">
        <v>108</v>
      </c>
      <c r="G80" s="8" t="s">
        <v>105</v>
      </c>
      <c r="H80" s="8" t="s">
        <v>125</v>
      </c>
      <c r="I80" s="7">
        <v>168</v>
      </c>
      <c r="J80" s="7">
        <v>5058</v>
      </c>
      <c r="K80" s="8" t="s">
        <v>126</v>
      </c>
      <c r="L80" s="7">
        <v>26</v>
      </c>
      <c r="M80" s="8" t="s">
        <v>99</v>
      </c>
      <c r="N80" s="10" t="s">
        <v>109</v>
      </c>
      <c r="O80" s="10"/>
      <c r="P80" s="10" t="s">
        <v>100</v>
      </c>
      <c r="Q80" s="11">
        <v>1</v>
      </c>
      <c r="R80" s="11">
        <v>3</v>
      </c>
      <c r="S80" s="11">
        <v>114</v>
      </c>
      <c r="T80" s="10" t="s">
        <v>101</v>
      </c>
      <c r="U80" s="12">
        <v>45125</v>
      </c>
      <c r="V80" s="10" t="s">
        <v>5</v>
      </c>
      <c r="W80" s="11"/>
      <c r="X8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8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0" s="14" t="str">
        <f>VLOOKUP(N80,RENOVAÇÃO!A:D,4,0)</f>
        <v>TRILHA SEGURANÇA DO TRABALHO</v>
      </c>
      <c r="AA80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81" spans="1:27" ht="20.399999999999999" x14ac:dyDescent="0.3">
      <c r="A81" s="7">
        <v>4</v>
      </c>
      <c r="B81" s="8" t="s">
        <v>124</v>
      </c>
      <c r="C81" s="9">
        <v>43767</v>
      </c>
      <c r="D81" s="8" t="s">
        <v>110</v>
      </c>
      <c r="E81" s="7">
        <v>5</v>
      </c>
      <c r="F81" s="8" t="s">
        <v>108</v>
      </c>
      <c r="G81" s="8" t="s">
        <v>105</v>
      </c>
      <c r="H81" s="8" t="s">
        <v>125</v>
      </c>
      <c r="I81" s="7">
        <v>168</v>
      </c>
      <c r="J81" s="7">
        <v>5058</v>
      </c>
      <c r="K81" s="8" t="s">
        <v>126</v>
      </c>
      <c r="L81" s="7">
        <v>123</v>
      </c>
      <c r="M81" s="8" t="s">
        <v>99</v>
      </c>
      <c r="N81" s="10" t="s">
        <v>48</v>
      </c>
      <c r="O81" s="10"/>
      <c r="P81" s="10" t="s">
        <v>100</v>
      </c>
      <c r="Q81" s="11">
        <v>1</v>
      </c>
      <c r="R81" s="11">
        <v>3</v>
      </c>
      <c r="S81" s="11">
        <v>80</v>
      </c>
      <c r="T81" s="10" t="s">
        <v>104</v>
      </c>
      <c r="U81" s="12">
        <v>45614</v>
      </c>
      <c r="V81" s="10" t="s">
        <v>13</v>
      </c>
      <c r="W81" s="11">
        <v>-25</v>
      </c>
      <c r="X8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18/11/25</v>
      </c>
      <c r="Y8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1" s="14" t="str">
        <f>VLOOKUP(N81,RENOVAÇÃO!A:D,4,0)</f>
        <v>TRILHA SEGURANÇA DO TRABALHO</v>
      </c>
      <c r="AA81" s="6" t="str">
        <f ca="1">CONCATENATE("• ",
    Tabela1[[#This Row],[DESCRICAO]], " - ",Tabela1[[#This Row],[STATUS_GERAL]])</f>
        <v>• NR 33 - SEGURANÇA E SAUDE NOS TRABALHOS EM ESPAÇOS CONFINADOS - VIGIA E TRABALHADOR - EM DIA – vence em 18/11/25</v>
      </c>
    </row>
    <row r="82" spans="1:27" ht="20.399999999999999" x14ac:dyDescent="0.3">
      <c r="A82" s="7">
        <v>4</v>
      </c>
      <c r="B82" s="8" t="s">
        <v>124</v>
      </c>
      <c r="C82" s="9">
        <v>43767</v>
      </c>
      <c r="D82" s="8" t="s">
        <v>110</v>
      </c>
      <c r="E82" s="7">
        <v>5</v>
      </c>
      <c r="F82" s="8" t="s">
        <v>108</v>
      </c>
      <c r="G82" s="8" t="s">
        <v>105</v>
      </c>
      <c r="H82" s="8" t="s">
        <v>125</v>
      </c>
      <c r="I82" s="7">
        <v>168</v>
      </c>
      <c r="J82" s="7">
        <v>5058</v>
      </c>
      <c r="K82" s="8" t="s">
        <v>126</v>
      </c>
      <c r="L82" s="7">
        <v>235</v>
      </c>
      <c r="M82" s="8" t="s">
        <v>99</v>
      </c>
      <c r="N82" s="10" t="s">
        <v>48</v>
      </c>
      <c r="O82" s="10"/>
      <c r="P82" s="10" t="s">
        <v>100</v>
      </c>
      <c r="Q82" s="11">
        <v>1</v>
      </c>
      <c r="R82" s="11">
        <v>3</v>
      </c>
      <c r="S82" s="11">
        <v>102</v>
      </c>
      <c r="T82" s="10" t="s">
        <v>106</v>
      </c>
      <c r="U82" s="12">
        <v>45608</v>
      </c>
      <c r="V82" s="10" t="s">
        <v>13</v>
      </c>
      <c r="W82" s="11">
        <v>-19</v>
      </c>
      <c r="X8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12/11/25</v>
      </c>
      <c r="Y8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2" s="14" t="str">
        <f>VLOOKUP(N82,RENOVAÇÃO!A:D,4,0)</f>
        <v>TRILHA SEGURANÇA DO TRABALHO</v>
      </c>
      <c r="AA82" s="6" t="str">
        <f ca="1">CONCATENATE("• ",
    Tabela1[[#This Row],[DESCRICAO]], " - ",Tabela1[[#This Row],[STATUS_GERAL]])</f>
        <v>• NR 33 - SEGURANÇA E SAUDE NOS TRABALHOS EM ESPAÇOS CONFINADOS - VIGIA E TRABALHADOR - EM DIA – vence em 12/11/25</v>
      </c>
    </row>
    <row r="83" spans="1:27" ht="20.399999999999999" x14ac:dyDescent="0.3">
      <c r="A83" s="7">
        <v>4</v>
      </c>
      <c r="B83" s="8" t="s">
        <v>124</v>
      </c>
      <c r="C83" s="9">
        <v>43767</v>
      </c>
      <c r="D83" s="8" t="s">
        <v>110</v>
      </c>
      <c r="E83" s="7">
        <v>5</v>
      </c>
      <c r="F83" s="8" t="s">
        <v>108</v>
      </c>
      <c r="G83" s="8" t="s">
        <v>105</v>
      </c>
      <c r="H83" s="8" t="s">
        <v>125</v>
      </c>
      <c r="I83" s="7">
        <v>168</v>
      </c>
      <c r="J83" s="7">
        <v>5058</v>
      </c>
      <c r="K83" s="8" t="s">
        <v>126</v>
      </c>
      <c r="L83" s="7">
        <v>129</v>
      </c>
      <c r="M83" s="8" t="s">
        <v>99</v>
      </c>
      <c r="N83" s="10" t="s">
        <v>46</v>
      </c>
      <c r="O83" s="10"/>
      <c r="P83" s="10" t="s">
        <v>100</v>
      </c>
      <c r="Q83" s="11">
        <v>1</v>
      </c>
      <c r="R83" s="11">
        <v>3</v>
      </c>
      <c r="S83" s="11">
        <v>102</v>
      </c>
      <c r="T83" s="10" t="s">
        <v>106</v>
      </c>
      <c r="U83" s="12">
        <v>45489</v>
      </c>
      <c r="V83" s="10" t="s">
        <v>5</v>
      </c>
      <c r="W83" s="11"/>
      <c r="X8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8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3" s="14" t="str">
        <f>VLOOKUP(N83,RENOVAÇÃO!A:D,4,0)</f>
        <v>TRILHA SEGURANÇA DO TRABALHO</v>
      </c>
      <c r="AA83" s="6" t="str">
        <f ca="1">CONCATENATE("• ",
    Tabela1[[#This Row],[DESCRICAO]], " - ",Tabela1[[#This Row],[STATUS_GERAL]])</f>
        <v>• NR 26 - SINALIZAÇÃO DE SEGURANÇA - EM DIA – não é necessário renovar</v>
      </c>
    </row>
    <row r="84" spans="1:27" ht="20.399999999999999" x14ac:dyDescent="0.3">
      <c r="A84" s="7">
        <v>4</v>
      </c>
      <c r="B84" s="8" t="s">
        <v>124</v>
      </c>
      <c r="C84" s="9">
        <v>43767</v>
      </c>
      <c r="D84" s="8" t="s">
        <v>110</v>
      </c>
      <c r="E84" s="7">
        <v>5</v>
      </c>
      <c r="F84" s="8" t="s">
        <v>108</v>
      </c>
      <c r="G84" s="8" t="s">
        <v>105</v>
      </c>
      <c r="H84" s="8" t="s">
        <v>125</v>
      </c>
      <c r="I84" s="7">
        <v>168</v>
      </c>
      <c r="J84" s="7">
        <v>5058</v>
      </c>
      <c r="K84" s="8" t="s">
        <v>126</v>
      </c>
      <c r="L84" s="7">
        <v>300</v>
      </c>
      <c r="M84" s="8" t="s">
        <v>99</v>
      </c>
      <c r="N84" s="10" t="s">
        <v>48</v>
      </c>
      <c r="O84" s="10"/>
      <c r="P84" s="10" t="s">
        <v>100</v>
      </c>
      <c r="Q84" s="11">
        <v>1</v>
      </c>
      <c r="R84" s="11">
        <v>3</v>
      </c>
      <c r="S84" s="11">
        <v>102</v>
      </c>
      <c r="T84" s="10" t="s">
        <v>106</v>
      </c>
      <c r="U84" s="12">
        <v>45926</v>
      </c>
      <c r="V84" s="10" t="s">
        <v>13</v>
      </c>
      <c r="W84" s="11">
        <v>-337</v>
      </c>
      <c r="X84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26/09/26</v>
      </c>
      <c r="Y8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4" s="14" t="str">
        <f>VLOOKUP(N84,RENOVAÇÃO!A:D,4,0)</f>
        <v>TRILHA SEGURANÇA DO TRABALHO</v>
      </c>
      <c r="AA84" s="6" t="str">
        <f ca="1">CONCATENATE("• ",
    Tabela1[[#This Row],[DESCRICAO]], " - ",Tabela1[[#This Row],[STATUS_GERAL]])</f>
        <v>• NR 33 - SEGURANÇA E SAUDE NOS TRABALHOS EM ESPAÇOS CONFINADOS - VIGIA E TRABALHADOR - EM DIA – vence em 26/09/26</v>
      </c>
    </row>
    <row r="85" spans="1:27" ht="20.399999999999999" x14ac:dyDescent="0.3">
      <c r="A85" s="7">
        <v>4</v>
      </c>
      <c r="B85" s="8" t="s">
        <v>124</v>
      </c>
      <c r="C85" s="9">
        <v>43767</v>
      </c>
      <c r="D85" s="8" t="s">
        <v>110</v>
      </c>
      <c r="E85" s="7">
        <v>5</v>
      </c>
      <c r="F85" s="8" t="s">
        <v>108</v>
      </c>
      <c r="G85" s="8" t="s">
        <v>105</v>
      </c>
      <c r="H85" s="8" t="s">
        <v>125</v>
      </c>
      <c r="I85" s="7">
        <v>168</v>
      </c>
      <c r="J85" s="7">
        <v>5058</v>
      </c>
      <c r="K85" s="8" t="s">
        <v>126</v>
      </c>
      <c r="L85" s="7">
        <v>323</v>
      </c>
      <c r="M85" s="8" t="s">
        <v>99</v>
      </c>
      <c r="N85" s="10" t="s">
        <v>109</v>
      </c>
      <c r="O85" s="10"/>
      <c r="P85" s="10" t="s">
        <v>100</v>
      </c>
      <c r="Q85" s="11">
        <v>1</v>
      </c>
      <c r="R85" s="11">
        <v>3</v>
      </c>
      <c r="S85" s="11">
        <v>102</v>
      </c>
      <c r="T85" s="10" t="s">
        <v>106</v>
      </c>
      <c r="U85" s="12">
        <v>44250</v>
      </c>
      <c r="V85" s="10" t="s">
        <v>5</v>
      </c>
      <c r="W85" s="11"/>
      <c r="X85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85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5" s="14" t="str">
        <f>VLOOKUP(N85,RENOVAÇÃO!A:D,4,0)</f>
        <v>TRILHA SEGURANÇA DO TRABALHO</v>
      </c>
      <c r="AA85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86" spans="1:27" ht="20.399999999999999" x14ac:dyDescent="0.3">
      <c r="A86" s="7">
        <v>4</v>
      </c>
      <c r="B86" s="8" t="s">
        <v>124</v>
      </c>
      <c r="C86" s="9">
        <v>43767</v>
      </c>
      <c r="D86" s="8" t="s">
        <v>110</v>
      </c>
      <c r="E86" s="7">
        <v>5</v>
      </c>
      <c r="F86" s="8" t="s">
        <v>108</v>
      </c>
      <c r="G86" s="8" t="s">
        <v>105</v>
      </c>
      <c r="H86" s="8" t="s">
        <v>125</v>
      </c>
      <c r="I86" s="7">
        <v>168</v>
      </c>
      <c r="J86" s="7">
        <v>5058</v>
      </c>
      <c r="K86" s="8" t="s">
        <v>126</v>
      </c>
      <c r="L86" s="7">
        <v>104</v>
      </c>
      <c r="M86" s="8" t="s">
        <v>99</v>
      </c>
      <c r="N86" s="10" t="s">
        <v>41</v>
      </c>
      <c r="O86" s="10"/>
      <c r="P86" s="10" t="s">
        <v>100</v>
      </c>
      <c r="Q86" s="11">
        <v>1</v>
      </c>
      <c r="R86" s="11">
        <v>3</v>
      </c>
      <c r="S86" s="11">
        <v>102</v>
      </c>
      <c r="T86" s="10" t="s">
        <v>106</v>
      </c>
      <c r="U86" s="12">
        <v>44888</v>
      </c>
      <c r="V86" s="10" t="s">
        <v>5</v>
      </c>
      <c r="W86" s="11"/>
      <c r="X86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86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6" s="14" t="str">
        <f>VLOOKUP(N86,RENOVAÇÃO!A:D,4,0)</f>
        <v>TRILHA SEGURANÇA DO TRABALHO</v>
      </c>
      <c r="AA86" s="6" t="str">
        <f ca="1">CONCATENATE("• ",
    Tabela1[[#This Row],[DESCRICAO]], " - ",Tabela1[[#This Row],[STATUS_GERAL]])</f>
        <v>• NR 13 - SEGURANÇA NA OPERAÇÃO VASOS DE PRESSÃO - EM DIA – não é necessário renovar</v>
      </c>
    </row>
    <row r="87" spans="1:27" ht="20.399999999999999" x14ac:dyDescent="0.3">
      <c r="A87" s="7">
        <v>4</v>
      </c>
      <c r="B87" s="8" t="s">
        <v>124</v>
      </c>
      <c r="C87" s="9">
        <v>43767</v>
      </c>
      <c r="D87" s="8" t="s">
        <v>110</v>
      </c>
      <c r="E87" s="7">
        <v>5</v>
      </c>
      <c r="F87" s="8" t="s">
        <v>108</v>
      </c>
      <c r="G87" s="8" t="s">
        <v>105</v>
      </c>
      <c r="H87" s="8" t="s">
        <v>125</v>
      </c>
      <c r="I87" s="7">
        <v>168</v>
      </c>
      <c r="J87" s="7">
        <v>5058</v>
      </c>
      <c r="K87" s="8" t="s">
        <v>126</v>
      </c>
      <c r="L87" s="7">
        <v>2</v>
      </c>
      <c r="M87" s="8" t="s">
        <v>99</v>
      </c>
      <c r="N87" s="10" t="s">
        <v>109</v>
      </c>
      <c r="O87" s="10"/>
      <c r="P87" s="10" t="s">
        <v>100</v>
      </c>
      <c r="Q87" s="11">
        <v>1</v>
      </c>
      <c r="R87" s="11">
        <v>3</v>
      </c>
      <c r="S87" s="11">
        <v>102</v>
      </c>
      <c r="T87" s="10" t="s">
        <v>106</v>
      </c>
      <c r="U87" s="12">
        <v>45125</v>
      </c>
      <c r="V87" s="10" t="s">
        <v>5</v>
      </c>
      <c r="W87" s="11"/>
      <c r="X87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87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7" s="14" t="str">
        <f>VLOOKUP(N87,RENOVAÇÃO!A:D,4,0)</f>
        <v>TRILHA SEGURANÇA DO TRABALHO</v>
      </c>
      <c r="AA87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88" spans="1:27" ht="20.399999999999999" x14ac:dyDescent="0.3">
      <c r="A88" s="7">
        <v>4</v>
      </c>
      <c r="B88" s="8" t="s">
        <v>124</v>
      </c>
      <c r="C88" s="9">
        <v>43767</v>
      </c>
      <c r="D88" s="8" t="s">
        <v>110</v>
      </c>
      <c r="E88" s="7">
        <v>5</v>
      </c>
      <c r="F88" s="8" t="s">
        <v>108</v>
      </c>
      <c r="G88" s="8" t="s">
        <v>105</v>
      </c>
      <c r="H88" s="8" t="s">
        <v>125</v>
      </c>
      <c r="I88" s="7">
        <v>168</v>
      </c>
      <c r="J88" s="7">
        <v>5058</v>
      </c>
      <c r="K88" s="8" t="s">
        <v>126</v>
      </c>
      <c r="L88" s="7">
        <v>200</v>
      </c>
      <c r="M88" s="8" t="s">
        <v>99</v>
      </c>
      <c r="N88" s="10" t="s">
        <v>42</v>
      </c>
      <c r="O88" s="10"/>
      <c r="P88" s="10" t="s">
        <v>100</v>
      </c>
      <c r="Q88" s="11">
        <v>1</v>
      </c>
      <c r="R88" s="11">
        <v>3</v>
      </c>
      <c r="S88" s="11">
        <v>102</v>
      </c>
      <c r="T88" s="10" t="s">
        <v>106</v>
      </c>
      <c r="U88" s="12">
        <v>45809</v>
      </c>
      <c r="V88" s="10" t="s">
        <v>13</v>
      </c>
      <c r="W88" s="11">
        <v>-220</v>
      </c>
      <c r="X88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01/06/26</v>
      </c>
      <c r="Y88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8" s="14" t="str">
        <f>VLOOKUP(N88,RENOVAÇÃO!A:D,4,0)</f>
        <v>TRILHA SEGURANÇA DO TRABALHO</v>
      </c>
      <c r="AA88" s="6" t="str">
        <f ca="1">CONCATENATE("• ",
    Tabela1[[#This Row],[DESCRICAO]], " - ",Tabela1[[#This Row],[STATUS_GERAL]])</f>
        <v>• NR 20 - SEG. E TRAB. INFLAMÁVEIS E COMBUSTIVEIS CLASSE III - AVANÇADO - EM DIA – vence em 01/06/26</v>
      </c>
    </row>
    <row r="89" spans="1:27" ht="20.399999999999999" x14ac:dyDescent="0.3">
      <c r="A89" s="7">
        <v>4</v>
      </c>
      <c r="B89" s="8" t="s">
        <v>124</v>
      </c>
      <c r="C89" s="9">
        <v>43767</v>
      </c>
      <c r="D89" s="8" t="s">
        <v>110</v>
      </c>
      <c r="E89" s="7">
        <v>5</v>
      </c>
      <c r="F89" s="8" t="s">
        <v>108</v>
      </c>
      <c r="G89" s="8" t="s">
        <v>105</v>
      </c>
      <c r="H89" s="8" t="s">
        <v>125</v>
      </c>
      <c r="I89" s="7">
        <v>168</v>
      </c>
      <c r="J89" s="7">
        <v>5058</v>
      </c>
      <c r="K89" s="8" t="s">
        <v>126</v>
      </c>
      <c r="L89" s="7">
        <v>302</v>
      </c>
      <c r="M89" s="8" t="s">
        <v>99</v>
      </c>
      <c r="N89" s="10" t="s">
        <v>49</v>
      </c>
      <c r="O89" s="10"/>
      <c r="P89" s="10" t="s">
        <v>100</v>
      </c>
      <c r="Q89" s="11">
        <v>1</v>
      </c>
      <c r="R89" s="11">
        <v>3</v>
      </c>
      <c r="S89" s="11">
        <v>102</v>
      </c>
      <c r="T89" s="10" t="s">
        <v>106</v>
      </c>
      <c r="U89" s="12">
        <v>45602</v>
      </c>
      <c r="V89" s="10" t="s">
        <v>36</v>
      </c>
      <c r="W89" s="11">
        <v>-378</v>
      </c>
      <c r="X89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06/11/26</v>
      </c>
      <c r="Y89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89" s="14" t="str">
        <f>VLOOKUP(N89,RENOVAÇÃO!A:D,4,0)</f>
        <v>TRILHA SEGURANÇA DO TRABALHO</v>
      </c>
      <c r="AA89" s="6" t="str">
        <f ca="1">CONCATENATE("• ",
    Tabela1[[#This Row],[DESCRICAO]], " - ",Tabela1[[#This Row],[STATUS_GERAL]])</f>
        <v>• NR 35 - TRABALHO EM ALTURA - EM DIA – vence em 06/11/26</v>
      </c>
    </row>
    <row r="90" spans="1:27" ht="20.399999999999999" x14ac:dyDescent="0.3">
      <c r="A90" s="7">
        <v>4</v>
      </c>
      <c r="B90" s="8" t="s">
        <v>124</v>
      </c>
      <c r="C90" s="9">
        <v>43767</v>
      </c>
      <c r="D90" s="8" t="s">
        <v>110</v>
      </c>
      <c r="E90" s="7">
        <v>5</v>
      </c>
      <c r="F90" s="8" t="s">
        <v>108</v>
      </c>
      <c r="G90" s="8" t="s">
        <v>105</v>
      </c>
      <c r="H90" s="8" t="s">
        <v>125</v>
      </c>
      <c r="I90" s="7">
        <v>168</v>
      </c>
      <c r="J90" s="7">
        <v>5058</v>
      </c>
      <c r="K90" s="8" t="s">
        <v>126</v>
      </c>
      <c r="L90" s="7">
        <v>320</v>
      </c>
      <c r="M90" s="8" t="s">
        <v>99</v>
      </c>
      <c r="N90" s="10" t="s">
        <v>49</v>
      </c>
      <c r="O90" s="10"/>
      <c r="P90" s="10" t="s">
        <v>100</v>
      </c>
      <c r="Q90" s="11">
        <v>1</v>
      </c>
      <c r="R90" s="11">
        <v>3</v>
      </c>
      <c r="S90" s="11">
        <v>102</v>
      </c>
      <c r="T90" s="10" t="s">
        <v>106</v>
      </c>
      <c r="U90" s="12">
        <v>45511</v>
      </c>
      <c r="V90" s="10" t="s">
        <v>36</v>
      </c>
      <c r="W90" s="11">
        <v>-287</v>
      </c>
      <c r="X90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07/08/26</v>
      </c>
      <c r="Y90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90" s="14" t="str">
        <f>VLOOKUP(N90,RENOVAÇÃO!A:D,4,0)</f>
        <v>TRILHA SEGURANÇA DO TRABALHO</v>
      </c>
      <c r="AA90" s="6" t="str">
        <f ca="1">CONCATENATE("• ",
    Tabela1[[#This Row],[DESCRICAO]], " - ",Tabela1[[#This Row],[STATUS_GERAL]])</f>
        <v>• NR 35 - TRABALHO EM ALTURA - EM DIA – vence em 07/08/26</v>
      </c>
    </row>
    <row r="91" spans="1:27" ht="20.399999999999999" x14ac:dyDescent="0.3">
      <c r="A91" s="7">
        <v>4</v>
      </c>
      <c r="B91" s="8" t="s">
        <v>124</v>
      </c>
      <c r="C91" s="9">
        <v>43767</v>
      </c>
      <c r="D91" s="8" t="s">
        <v>110</v>
      </c>
      <c r="E91" s="7">
        <v>5</v>
      </c>
      <c r="F91" s="8" t="s">
        <v>108</v>
      </c>
      <c r="G91" s="8" t="s">
        <v>105</v>
      </c>
      <c r="H91" s="8" t="s">
        <v>125</v>
      </c>
      <c r="I91" s="7">
        <v>168</v>
      </c>
      <c r="J91" s="7">
        <v>5058</v>
      </c>
      <c r="K91" s="8" t="s">
        <v>126</v>
      </c>
      <c r="L91" s="7">
        <v>321</v>
      </c>
      <c r="M91" s="8" t="s">
        <v>99</v>
      </c>
      <c r="N91" s="10" t="s">
        <v>46</v>
      </c>
      <c r="O91" s="10"/>
      <c r="P91" s="10" t="s">
        <v>100</v>
      </c>
      <c r="Q91" s="11">
        <v>1</v>
      </c>
      <c r="R91" s="11">
        <v>3</v>
      </c>
      <c r="S91" s="11">
        <v>102</v>
      </c>
      <c r="T91" s="10" t="s">
        <v>106</v>
      </c>
      <c r="U91" s="12">
        <v>45489</v>
      </c>
      <c r="V91" s="10" t="s">
        <v>5</v>
      </c>
      <c r="W91" s="11"/>
      <c r="X91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91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91" s="14" t="str">
        <f>VLOOKUP(N91,RENOVAÇÃO!A:D,4,0)</f>
        <v>TRILHA SEGURANÇA DO TRABALHO</v>
      </c>
      <c r="AA91" s="6" t="str">
        <f ca="1">CONCATENATE("• ",
    Tabela1[[#This Row],[DESCRICAO]], " - ",Tabela1[[#This Row],[STATUS_GERAL]])</f>
        <v>• NR 26 - SINALIZAÇÃO DE SEGURANÇA - EM DIA – não é necessário renovar</v>
      </c>
    </row>
    <row r="92" spans="1:27" ht="20.399999999999999" x14ac:dyDescent="0.3">
      <c r="A92" s="7">
        <v>4</v>
      </c>
      <c r="B92" s="8" t="s">
        <v>124</v>
      </c>
      <c r="C92" s="9">
        <v>43767</v>
      </c>
      <c r="D92" s="8" t="s">
        <v>110</v>
      </c>
      <c r="E92" s="7">
        <v>5</v>
      </c>
      <c r="F92" s="8" t="s">
        <v>108</v>
      </c>
      <c r="G92" s="8" t="s">
        <v>105</v>
      </c>
      <c r="H92" s="8" t="s">
        <v>125</v>
      </c>
      <c r="I92" s="7">
        <v>168</v>
      </c>
      <c r="J92" s="7">
        <v>5058</v>
      </c>
      <c r="K92" s="8" t="s">
        <v>126</v>
      </c>
      <c r="L92" s="7">
        <v>295</v>
      </c>
      <c r="M92" s="8" t="s">
        <v>99</v>
      </c>
      <c r="N92" s="10" t="s">
        <v>109</v>
      </c>
      <c r="O92" s="10"/>
      <c r="P92" s="10" t="s">
        <v>100</v>
      </c>
      <c r="Q92" s="11">
        <v>1</v>
      </c>
      <c r="R92" s="11">
        <v>1</v>
      </c>
      <c r="S92" s="11">
        <v>114</v>
      </c>
      <c r="T92" s="10" t="s">
        <v>101</v>
      </c>
      <c r="U92" s="12">
        <v>45436</v>
      </c>
      <c r="V92" s="10" t="s">
        <v>5</v>
      </c>
      <c r="W92" s="11"/>
      <c r="X92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92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SINOP</v>
      </c>
      <c r="Z92" s="14" t="str">
        <f>VLOOKUP(N92,RENOVAÇÃO!A:D,4,0)</f>
        <v>TRILHA SEGURANÇA DO TRABALHO</v>
      </c>
      <c r="AA92" s="6" t="str">
        <f ca="1">CONCATENATE("• ",
    Tabela1[[#This Row],[DESCRICAO]], " - ",Tabela1[[#This Row],[STATUS_GERAL]])</f>
        <v>• BLOQUEIO E SINALIZAÇÃO DE ENERGIAS PERIGOSAS - LOCKOUT/TAGOUT - NR10 E NR12 - EM DIA – não é necessário renovar</v>
      </c>
    </row>
    <row r="93" spans="1:27" ht="20.399999999999999" x14ac:dyDescent="0.3">
      <c r="A93" s="7">
        <v>4</v>
      </c>
      <c r="B93" s="8" t="s">
        <v>124</v>
      </c>
      <c r="C93" s="9">
        <v>43767</v>
      </c>
      <c r="D93" s="8" t="s">
        <v>110</v>
      </c>
      <c r="E93" s="7">
        <v>5</v>
      </c>
      <c r="F93" s="8" t="s">
        <v>108</v>
      </c>
      <c r="G93" s="8" t="s">
        <v>105</v>
      </c>
      <c r="H93" s="8" t="s">
        <v>125</v>
      </c>
      <c r="I93" s="7">
        <v>168</v>
      </c>
      <c r="J93" s="7">
        <v>5058</v>
      </c>
      <c r="K93" s="8" t="s">
        <v>126</v>
      </c>
      <c r="L93" s="7">
        <v>322</v>
      </c>
      <c r="M93" s="8" t="s">
        <v>99</v>
      </c>
      <c r="N93" s="10" t="s">
        <v>49</v>
      </c>
      <c r="O93" s="10"/>
      <c r="P93" s="10" t="s">
        <v>100</v>
      </c>
      <c r="Q93" s="11">
        <v>1</v>
      </c>
      <c r="R93" s="11">
        <v>3</v>
      </c>
      <c r="S93" s="11">
        <v>102</v>
      </c>
      <c r="T93" s="10" t="s">
        <v>106</v>
      </c>
      <c r="U93" s="12">
        <v>45569</v>
      </c>
      <c r="V93" s="10" t="s">
        <v>36</v>
      </c>
      <c r="W93" s="11">
        <v>-345</v>
      </c>
      <c r="X93" s="13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vence em 04/10/26</v>
      </c>
      <c r="Y93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93" s="14" t="str">
        <f>VLOOKUP(N93,RENOVAÇÃO!A:D,4,0)</f>
        <v>TRILHA SEGURANÇA DO TRABALHO</v>
      </c>
      <c r="AA93" s="6" t="str">
        <f ca="1">CONCATENATE("• ",
    Tabela1[[#This Row],[DESCRICAO]], " - ",Tabela1[[#This Row],[STATUS_GERAL]])</f>
        <v>• NR 35 - TRABALHO EM ALTURA - EM DIA – vence em 04/10/26</v>
      </c>
    </row>
    <row r="94" spans="1:27" ht="20.399999999999999" x14ac:dyDescent="0.3">
      <c r="A94" s="7"/>
      <c r="B94" s="8"/>
      <c r="C94" s="9"/>
      <c r="D94" s="8"/>
      <c r="E94" s="7"/>
      <c r="F94" s="8"/>
      <c r="G94" s="8"/>
      <c r="H94" s="8"/>
      <c r="I94" s="7"/>
      <c r="J94" s="7"/>
      <c r="K94" s="8"/>
      <c r="L94" s="7"/>
      <c r="M94" s="8"/>
      <c r="N94" s="10" t="s">
        <v>46</v>
      </c>
      <c r="O94" s="10"/>
      <c r="P94" s="10" t="s">
        <v>100</v>
      </c>
      <c r="Q94" s="11">
        <v>1</v>
      </c>
      <c r="R94" s="11">
        <v>3</v>
      </c>
      <c r="S94" s="11">
        <v>102</v>
      </c>
      <c r="T94" s="10" t="s">
        <v>106</v>
      </c>
      <c r="U94" s="12">
        <v>45489</v>
      </c>
      <c r="V94" s="10" t="s">
        <v>5</v>
      </c>
      <c r="W94" s="11"/>
      <c r="X94" s="15" t="str">
        <f ca="1">IF(Tabela1[[#This Row],[DATA_CURSO]]="",
"PENDENTE",
IF(Tabela1[[#This Row],[TIPO_RENOVACAO]]="QUANDO NECESSARIO",
"EM DIA – não é necessário renovar",
IFERROR(
IF(SUM(Tabela1[[#This Row],[DATA_CURSO]],VLOOKUP(Tabela1[[#This Row],[DESCRICAO]],RENOVAÇÃO!A:C,3,0))&lt;TODAY(),
"VENCIDO – "&amp;TEXT(SUM(Tabela1[[#This Row],[DATA_CURSO]],VLOOKUP(Tabela1[[#This Row],[DESCRICAO]],RENOVAÇÃO!A:C,3,0)),"dd/mm/aa"),
"EM DIA – vence em "&amp;TEXT(SUM(Tabela1[[#This Row],[DATA_CURSO]],VLOOKUP(Tabela1[[#This Row],[DESCRICAO]],RENOVAÇÃO!A:C,3,0)),"dd/mm/aa")),
"NÃO É NECESSÁRIO RENOVAR")))</f>
        <v>EM DIA – não é necessário renovar</v>
      </c>
      <c r="Y94" s="13" t="str">
        <f>IF(Tabela1[[#This Row],[FILIAL]]=1,"SINOP",IF(Tabela1[[#This Row],[FILIAL]]=2,"DOURADOS",IF(Tabela1[[#This Row],[FILIAL]]=3,"NOVA MUTUM",IF(Tabela1[[#This Row],[FILIAL]]=4,"FULLING",IF(Tabela1[[#This Row],[FILIAL]]=5,"SÃO PAULO",IF(Tabela1[[#This Row],[FILIAL]]=6,"SIDROLÂNDIA",IF(Tabela1[[#This Row],[FILIAL]]=8,"BALSAS",IF(Tabela1[[#This Row],[FILIAL]]=10,"LUIS EDUARDO MAGALHÃES",""))))))))</f>
        <v>NOVA MUTUM</v>
      </c>
      <c r="Z94" s="16" t="str">
        <f>VLOOKUP(N94,RENOVAÇÃO!A:D,4,0)</f>
        <v>TRILHA SEGURANÇA DO TRABALHO</v>
      </c>
      <c r="AA94" s="17" t="str">
        <f ca="1">CONCATENATE("• ",
    Tabela1[[#This Row],[DESCRICAO]], " - ",Tabela1[[#This Row],[STATUS_GERAL]])</f>
        <v>• NR 26 - SINALIZAÇÃO DE SEGURANÇA - EM DIA – não é necessário renovar</v>
      </c>
    </row>
  </sheetData>
  <phoneticPr fontId="9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8ADF-76D4-429C-A04D-AD780ADC801C}">
  <dimension ref="A1:D65"/>
  <sheetViews>
    <sheetView workbookViewId="0">
      <selection activeCell="H26" sqref="H26"/>
    </sheetView>
  </sheetViews>
  <sheetFormatPr defaultRowHeight="14.4" x14ac:dyDescent="0.3"/>
  <cols>
    <col min="1" max="1" width="74.33203125" style="2" customWidth="1"/>
    <col min="2" max="2" width="19.6640625" style="2" bestFit="1" customWidth="1"/>
    <col min="3" max="3" width="12.21875" style="2" customWidth="1"/>
    <col min="4" max="4" width="30.21875" style="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5" t="s">
        <v>4</v>
      </c>
      <c r="B2" t="s">
        <v>5</v>
      </c>
      <c r="C2" s="3" t="s">
        <v>116</v>
      </c>
      <c r="D2" s="4" t="s">
        <v>6</v>
      </c>
    </row>
    <row r="3" spans="1:4" x14ac:dyDescent="0.3">
      <c r="A3" s="5" t="s">
        <v>7</v>
      </c>
      <c r="B3" t="s">
        <v>5</v>
      </c>
      <c r="C3" s="3" t="s">
        <v>116</v>
      </c>
      <c r="D3" s="3" t="s">
        <v>6</v>
      </c>
    </row>
    <row r="4" spans="1:4" x14ac:dyDescent="0.3">
      <c r="A4" s="5" t="s">
        <v>8</v>
      </c>
      <c r="B4" t="s">
        <v>5</v>
      </c>
      <c r="C4" s="3" t="s">
        <v>116</v>
      </c>
      <c r="D4" s="3" t="s">
        <v>6</v>
      </c>
    </row>
    <row r="5" spans="1:4" x14ac:dyDescent="0.3">
      <c r="A5" s="5" t="s">
        <v>10</v>
      </c>
      <c r="B5" t="s">
        <v>5</v>
      </c>
      <c r="C5" s="3" t="s">
        <v>116</v>
      </c>
      <c r="D5" s="3" t="s">
        <v>6</v>
      </c>
    </row>
    <row r="6" spans="1:4" x14ac:dyDescent="0.3">
      <c r="A6" s="5" t="s">
        <v>109</v>
      </c>
      <c r="B6" t="s">
        <v>5</v>
      </c>
      <c r="C6" s="3" t="s">
        <v>116</v>
      </c>
      <c r="D6" s="3" t="s">
        <v>11</v>
      </c>
    </row>
    <row r="7" spans="1:4" x14ac:dyDescent="0.3">
      <c r="A7" s="5" t="s">
        <v>12</v>
      </c>
      <c r="B7" t="s">
        <v>13</v>
      </c>
      <c r="C7" s="3" t="s">
        <v>117</v>
      </c>
      <c r="D7" s="4" t="s">
        <v>14</v>
      </c>
    </row>
    <row r="8" spans="1:4" x14ac:dyDescent="0.3">
      <c r="A8" s="5" t="s">
        <v>65</v>
      </c>
      <c r="B8" t="s">
        <v>13</v>
      </c>
      <c r="C8" s="3" t="s">
        <v>117</v>
      </c>
      <c r="D8" s="3" t="s">
        <v>14</v>
      </c>
    </row>
    <row r="9" spans="1:4" x14ac:dyDescent="0.3">
      <c r="A9" s="5" t="s">
        <v>15</v>
      </c>
      <c r="B9" t="s">
        <v>13</v>
      </c>
      <c r="C9" s="3" t="s">
        <v>117</v>
      </c>
      <c r="D9" s="3" t="s">
        <v>9</v>
      </c>
    </row>
    <row r="10" spans="1:4" x14ac:dyDescent="0.3">
      <c r="A10" s="5" t="s">
        <v>16</v>
      </c>
      <c r="B10" t="s">
        <v>13</v>
      </c>
      <c r="C10" s="3" t="s">
        <v>117</v>
      </c>
      <c r="D10" s="3" t="s">
        <v>14</v>
      </c>
    </row>
    <row r="11" spans="1:4" x14ac:dyDescent="0.3">
      <c r="A11" s="5" t="s">
        <v>17</v>
      </c>
      <c r="B11" t="s">
        <v>5</v>
      </c>
      <c r="C11" s="3" t="s">
        <v>116</v>
      </c>
      <c r="D11" s="3" t="s">
        <v>9</v>
      </c>
    </row>
    <row r="12" spans="1:4" x14ac:dyDescent="0.3">
      <c r="A12" s="5" t="s">
        <v>64</v>
      </c>
      <c r="B12" t="s">
        <v>13</v>
      </c>
      <c r="C12" s="3" t="s">
        <v>117</v>
      </c>
      <c r="D12" s="3" t="s">
        <v>9</v>
      </c>
    </row>
    <row r="13" spans="1:4" x14ac:dyDescent="0.3">
      <c r="A13" s="5" t="s">
        <v>61</v>
      </c>
      <c r="B13" t="s">
        <v>13</v>
      </c>
      <c r="C13" s="3" t="s">
        <v>117</v>
      </c>
      <c r="D13" s="3" t="s">
        <v>9</v>
      </c>
    </row>
    <row r="14" spans="1:4" x14ac:dyDescent="0.3">
      <c r="A14" s="5" t="s">
        <v>66</v>
      </c>
      <c r="B14" t="s">
        <v>13</v>
      </c>
      <c r="C14" s="3" t="s">
        <v>117</v>
      </c>
      <c r="D14" s="3" t="s">
        <v>9</v>
      </c>
    </row>
    <row r="15" spans="1:4" x14ac:dyDescent="0.3">
      <c r="A15" s="5" t="s">
        <v>18</v>
      </c>
      <c r="B15" t="s">
        <v>5</v>
      </c>
      <c r="C15" s="3" t="s">
        <v>116</v>
      </c>
      <c r="D15" s="3" t="s">
        <v>6</v>
      </c>
    </row>
    <row r="16" spans="1:4" x14ac:dyDescent="0.3">
      <c r="A16" s="5" t="s">
        <v>19</v>
      </c>
      <c r="B16" t="s">
        <v>5</v>
      </c>
      <c r="C16" s="3" t="s">
        <v>116</v>
      </c>
      <c r="D16" s="3" t="s">
        <v>6</v>
      </c>
    </row>
    <row r="17" spans="1:4" x14ac:dyDescent="0.3">
      <c r="A17" s="5" t="s">
        <v>20</v>
      </c>
      <c r="B17" t="s">
        <v>5</v>
      </c>
      <c r="C17" s="3" t="s">
        <v>116</v>
      </c>
      <c r="D17" s="3" t="s">
        <v>6</v>
      </c>
    </row>
    <row r="18" spans="1:4" x14ac:dyDescent="0.3">
      <c r="A18" s="5" t="s">
        <v>21</v>
      </c>
      <c r="B18" t="s">
        <v>5</v>
      </c>
      <c r="C18" s="3" t="s">
        <v>116</v>
      </c>
      <c r="D18" s="3" t="s">
        <v>11</v>
      </c>
    </row>
    <row r="19" spans="1:4" x14ac:dyDescent="0.3">
      <c r="A19" s="5" t="s">
        <v>22</v>
      </c>
      <c r="B19" t="s">
        <v>5</v>
      </c>
      <c r="C19" s="3" t="s">
        <v>116</v>
      </c>
      <c r="D19" s="3" t="s">
        <v>6</v>
      </c>
    </row>
    <row r="20" spans="1:4" x14ac:dyDescent="0.3">
      <c r="A20" s="5" t="s">
        <v>23</v>
      </c>
      <c r="B20" t="s">
        <v>5</v>
      </c>
      <c r="C20" s="3" t="s">
        <v>116</v>
      </c>
      <c r="D20" s="3" t="s">
        <v>6</v>
      </c>
    </row>
    <row r="21" spans="1:4" x14ac:dyDescent="0.3">
      <c r="A21" s="5" t="s">
        <v>24</v>
      </c>
      <c r="B21" t="s">
        <v>5</v>
      </c>
      <c r="C21" s="3" t="s">
        <v>116</v>
      </c>
      <c r="D21" s="3" t="s">
        <v>6</v>
      </c>
    </row>
    <row r="22" spans="1:4" x14ac:dyDescent="0.3">
      <c r="A22" s="5" t="s">
        <v>25</v>
      </c>
      <c r="B22" t="s">
        <v>5</v>
      </c>
      <c r="C22" s="3" t="s">
        <v>116</v>
      </c>
      <c r="D22" s="3" t="s">
        <v>6</v>
      </c>
    </row>
    <row r="23" spans="1:4" x14ac:dyDescent="0.3">
      <c r="A23" s="5" t="s">
        <v>26</v>
      </c>
      <c r="B23" t="s">
        <v>5</v>
      </c>
      <c r="C23" s="3" t="s">
        <v>116</v>
      </c>
      <c r="D23" s="3" t="s">
        <v>6</v>
      </c>
    </row>
    <row r="24" spans="1:4" x14ac:dyDescent="0.3">
      <c r="A24" s="5" t="s">
        <v>69</v>
      </c>
      <c r="B24" t="s">
        <v>13</v>
      </c>
      <c r="C24" s="3" t="s">
        <v>117</v>
      </c>
      <c r="D24" s="3" t="s">
        <v>55</v>
      </c>
    </row>
    <row r="25" spans="1:4" x14ac:dyDescent="0.3">
      <c r="A25" s="5" t="s">
        <v>27</v>
      </c>
      <c r="B25" t="s">
        <v>5</v>
      </c>
      <c r="C25" s="3" t="s">
        <v>116</v>
      </c>
      <c r="D25" s="3" t="s">
        <v>6</v>
      </c>
    </row>
    <row r="26" spans="1:4" x14ac:dyDescent="0.3">
      <c r="A26" s="5" t="s">
        <v>28</v>
      </c>
      <c r="B26" t="s">
        <v>5</v>
      </c>
      <c r="C26" s="3" t="s">
        <v>116</v>
      </c>
      <c r="D26" s="3" t="s">
        <v>6</v>
      </c>
    </row>
    <row r="27" spans="1:4" x14ac:dyDescent="0.3">
      <c r="A27" s="5" t="s">
        <v>29</v>
      </c>
      <c r="B27" t="s">
        <v>5</v>
      </c>
      <c r="C27" s="3" t="s">
        <v>116</v>
      </c>
      <c r="D27" s="3" t="s">
        <v>6</v>
      </c>
    </row>
    <row r="28" spans="1:4" x14ac:dyDescent="0.3">
      <c r="A28" s="5" t="s">
        <v>30</v>
      </c>
      <c r="B28" t="s">
        <v>5</v>
      </c>
      <c r="C28" s="3" t="s">
        <v>116</v>
      </c>
      <c r="D28" s="3" t="s">
        <v>6</v>
      </c>
    </row>
    <row r="29" spans="1:4" x14ac:dyDescent="0.3">
      <c r="A29" s="5" t="s">
        <v>31</v>
      </c>
      <c r="B29" t="s">
        <v>5</v>
      </c>
      <c r="C29" s="3" t="s">
        <v>116</v>
      </c>
      <c r="D29" s="3" t="s">
        <v>6</v>
      </c>
    </row>
    <row r="30" spans="1:4" x14ac:dyDescent="0.3">
      <c r="A30" s="5" t="s">
        <v>32</v>
      </c>
      <c r="B30" t="s">
        <v>5</v>
      </c>
      <c r="C30" s="3" t="s">
        <v>116</v>
      </c>
      <c r="D30" s="3" t="s">
        <v>6</v>
      </c>
    </row>
    <row r="31" spans="1:4" x14ac:dyDescent="0.3">
      <c r="A31" s="5" t="s">
        <v>33</v>
      </c>
      <c r="B31" t="s">
        <v>5</v>
      </c>
      <c r="C31" s="3" t="s">
        <v>116</v>
      </c>
      <c r="D31" s="4" t="s">
        <v>6</v>
      </c>
    </row>
    <row r="32" spans="1:4" x14ac:dyDescent="0.3">
      <c r="A32" s="5" t="s">
        <v>114</v>
      </c>
      <c r="B32" t="s">
        <v>13</v>
      </c>
      <c r="C32" s="3" t="s">
        <v>117</v>
      </c>
      <c r="D32" s="3" t="s">
        <v>55</v>
      </c>
    </row>
    <row r="33" spans="1:4" x14ac:dyDescent="0.3">
      <c r="A33" s="5" t="s">
        <v>34</v>
      </c>
      <c r="B33" t="s">
        <v>13</v>
      </c>
      <c r="C33" s="3" t="s">
        <v>117</v>
      </c>
      <c r="D33" s="3" t="s">
        <v>14</v>
      </c>
    </row>
    <row r="34" spans="1:4" x14ac:dyDescent="0.3">
      <c r="A34" s="5" t="s">
        <v>67</v>
      </c>
      <c r="B34" t="s">
        <v>13</v>
      </c>
      <c r="C34" s="3" t="s">
        <v>117</v>
      </c>
      <c r="D34" s="3" t="s">
        <v>55</v>
      </c>
    </row>
    <row r="35" spans="1:4" x14ac:dyDescent="0.3">
      <c r="A35" s="5" t="s">
        <v>35</v>
      </c>
      <c r="B35" t="s">
        <v>5</v>
      </c>
      <c r="C35" s="3" t="s">
        <v>116</v>
      </c>
      <c r="D35" s="3" t="s">
        <v>6</v>
      </c>
    </row>
    <row r="36" spans="1:4" x14ac:dyDescent="0.3">
      <c r="A36" s="5" t="s">
        <v>111</v>
      </c>
      <c r="B36" t="s">
        <v>36</v>
      </c>
      <c r="C36" s="3" t="s">
        <v>118</v>
      </c>
      <c r="D36" s="3" t="s">
        <v>11</v>
      </c>
    </row>
    <row r="37" spans="1:4" x14ac:dyDescent="0.3">
      <c r="A37" s="5" t="s">
        <v>112</v>
      </c>
      <c r="B37" t="s">
        <v>36</v>
      </c>
      <c r="C37" s="3" t="s">
        <v>118</v>
      </c>
      <c r="D37" s="3" t="s">
        <v>11</v>
      </c>
    </row>
    <row r="38" spans="1:4" x14ac:dyDescent="0.3">
      <c r="A38" s="5" t="s">
        <v>38</v>
      </c>
      <c r="B38" t="s">
        <v>36</v>
      </c>
      <c r="C38" s="3" t="s">
        <v>118</v>
      </c>
      <c r="D38" s="3" t="s">
        <v>11</v>
      </c>
    </row>
    <row r="39" spans="1:4" x14ac:dyDescent="0.3">
      <c r="A39" s="5" t="s">
        <v>39</v>
      </c>
      <c r="B39" t="s">
        <v>36</v>
      </c>
      <c r="C39" s="3" t="s">
        <v>118</v>
      </c>
      <c r="D39" s="3" t="s">
        <v>11</v>
      </c>
    </row>
    <row r="40" spans="1:4" x14ac:dyDescent="0.3">
      <c r="A40" s="5" t="s">
        <v>113</v>
      </c>
      <c r="B40" t="s">
        <v>36</v>
      </c>
      <c r="C40" s="3" t="s">
        <v>118</v>
      </c>
      <c r="D40" s="3" t="s">
        <v>11</v>
      </c>
    </row>
    <row r="41" spans="1:4" x14ac:dyDescent="0.3">
      <c r="A41" s="5" t="s">
        <v>37</v>
      </c>
      <c r="B41" t="s">
        <v>36</v>
      </c>
      <c r="C41" s="3" t="s">
        <v>118</v>
      </c>
      <c r="D41" s="3" t="s">
        <v>11</v>
      </c>
    </row>
    <row r="42" spans="1:4" x14ac:dyDescent="0.3">
      <c r="A42" s="5" t="s">
        <v>62</v>
      </c>
      <c r="B42" t="s">
        <v>5</v>
      </c>
      <c r="C42" s="3" t="s">
        <v>116</v>
      </c>
      <c r="D42" s="3" t="s">
        <v>11</v>
      </c>
    </row>
    <row r="43" spans="1:4" x14ac:dyDescent="0.3">
      <c r="A43" s="5" t="s">
        <v>40</v>
      </c>
      <c r="B43" t="s">
        <v>5</v>
      </c>
      <c r="C43" s="3" t="s">
        <v>116</v>
      </c>
      <c r="D43" s="4" t="s">
        <v>11</v>
      </c>
    </row>
    <row r="44" spans="1:4" x14ac:dyDescent="0.3">
      <c r="A44" s="5" t="s">
        <v>41</v>
      </c>
      <c r="B44" t="s">
        <v>5</v>
      </c>
      <c r="C44" s="3" t="s">
        <v>116</v>
      </c>
      <c r="D44" s="3" t="s">
        <v>11</v>
      </c>
    </row>
    <row r="45" spans="1:4" x14ac:dyDescent="0.3">
      <c r="A45" s="5" t="s">
        <v>42</v>
      </c>
      <c r="B45" t="s">
        <v>13</v>
      </c>
      <c r="C45" s="3" t="s">
        <v>117</v>
      </c>
      <c r="D45" s="3" t="s">
        <v>11</v>
      </c>
    </row>
    <row r="46" spans="1:4" x14ac:dyDescent="0.3">
      <c r="A46" s="5" t="s">
        <v>43</v>
      </c>
      <c r="B46" t="s">
        <v>44</v>
      </c>
      <c r="C46" s="3" t="s">
        <v>119</v>
      </c>
      <c r="D46" s="3" t="s">
        <v>11</v>
      </c>
    </row>
    <row r="47" spans="1:4" x14ac:dyDescent="0.3">
      <c r="A47" s="5" t="s">
        <v>45</v>
      </c>
      <c r="B47" t="s">
        <v>36</v>
      </c>
      <c r="C47" s="3" t="s">
        <v>118</v>
      </c>
      <c r="D47" s="3" t="s">
        <v>11</v>
      </c>
    </row>
    <row r="48" spans="1:4" x14ac:dyDescent="0.3">
      <c r="A48" s="5" t="s">
        <v>46</v>
      </c>
      <c r="B48" t="s">
        <v>5</v>
      </c>
      <c r="C48" s="3" t="s">
        <v>116</v>
      </c>
      <c r="D48" s="3" t="s">
        <v>11</v>
      </c>
    </row>
    <row r="49" spans="1:4" x14ac:dyDescent="0.3">
      <c r="A49" s="5" t="s">
        <v>47</v>
      </c>
      <c r="B49" t="s">
        <v>13</v>
      </c>
      <c r="C49" s="3" t="s">
        <v>117</v>
      </c>
      <c r="D49" s="3" t="s">
        <v>11</v>
      </c>
    </row>
    <row r="50" spans="1:4" x14ac:dyDescent="0.3">
      <c r="A50" s="5" t="s">
        <v>48</v>
      </c>
      <c r="B50" t="s">
        <v>13</v>
      </c>
      <c r="C50" s="3" t="s">
        <v>117</v>
      </c>
      <c r="D50" s="3" t="s">
        <v>11</v>
      </c>
    </row>
    <row r="51" spans="1:4" x14ac:dyDescent="0.3">
      <c r="A51" s="5" t="s">
        <v>49</v>
      </c>
      <c r="B51" t="s">
        <v>36</v>
      </c>
      <c r="C51" s="3" t="s">
        <v>118</v>
      </c>
      <c r="D51" s="3" t="s">
        <v>11</v>
      </c>
    </row>
    <row r="52" spans="1:4" x14ac:dyDescent="0.3">
      <c r="A52" s="5" t="s">
        <v>50</v>
      </c>
      <c r="B52" t="s">
        <v>5</v>
      </c>
      <c r="C52" s="3" t="s">
        <v>116</v>
      </c>
      <c r="D52" s="3" t="s">
        <v>6</v>
      </c>
    </row>
    <row r="53" spans="1:4" x14ac:dyDescent="0.3">
      <c r="A53" s="5" t="s">
        <v>70</v>
      </c>
      <c r="B53" t="s">
        <v>13</v>
      </c>
      <c r="C53" s="3" t="s">
        <v>117</v>
      </c>
      <c r="D53" s="3" t="s">
        <v>55</v>
      </c>
    </row>
    <row r="54" spans="1:4" x14ac:dyDescent="0.3">
      <c r="A54" s="5" t="s">
        <v>51</v>
      </c>
      <c r="B54" t="s">
        <v>5</v>
      </c>
      <c r="C54" s="3" t="s">
        <v>116</v>
      </c>
      <c r="D54" s="3" t="s">
        <v>52</v>
      </c>
    </row>
    <row r="55" spans="1:4" x14ac:dyDescent="0.3">
      <c r="A55" s="5" t="s">
        <v>53</v>
      </c>
      <c r="B55" t="s">
        <v>5</v>
      </c>
      <c r="C55" s="3" t="s">
        <v>116</v>
      </c>
      <c r="D55" s="3" t="s">
        <v>54</v>
      </c>
    </row>
    <row r="56" spans="1:4" x14ac:dyDescent="0.3">
      <c r="A56" s="5" t="s">
        <v>63</v>
      </c>
      <c r="B56" t="s">
        <v>13</v>
      </c>
      <c r="C56" s="3" t="s">
        <v>117</v>
      </c>
      <c r="D56" s="3" t="s">
        <v>9</v>
      </c>
    </row>
    <row r="57" spans="1:4" x14ac:dyDescent="0.3">
      <c r="A57" s="5" t="s">
        <v>56</v>
      </c>
      <c r="B57" t="s">
        <v>5</v>
      </c>
      <c r="C57" s="3" t="s">
        <v>116</v>
      </c>
      <c r="D57" s="3" t="s">
        <v>6</v>
      </c>
    </row>
    <row r="58" spans="1:4" x14ac:dyDescent="0.3">
      <c r="A58" s="5" t="s">
        <v>57</v>
      </c>
      <c r="B58" t="s">
        <v>13</v>
      </c>
      <c r="C58" s="3" t="s">
        <v>117</v>
      </c>
      <c r="D58" s="3" t="s">
        <v>14</v>
      </c>
    </row>
    <row r="59" spans="1:4" x14ac:dyDescent="0.3">
      <c r="A59" s="5" t="s">
        <v>72</v>
      </c>
      <c r="B59" t="s">
        <v>5</v>
      </c>
      <c r="C59" s="3" t="s">
        <v>116</v>
      </c>
      <c r="D59" s="3" t="s">
        <v>11</v>
      </c>
    </row>
    <row r="60" spans="1:4" x14ac:dyDescent="0.3">
      <c r="A60" s="5" t="s">
        <v>68</v>
      </c>
      <c r="B60" t="s">
        <v>13</v>
      </c>
      <c r="C60" s="3" t="s">
        <v>117</v>
      </c>
      <c r="D60" s="3" t="s">
        <v>55</v>
      </c>
    </row>
    <row r="61" spans="1:4" x14ac:dyDescent="0.3">
      <c r="A61" s="5" t="s">
        <v>58</v>
      </c>
      <c r="B61" t="s">
        <v>5</v>
      </c>
      <c r="C61" s="3" t="s">
        <v>116</v>
      </c>
      <c r="D61" s="3" t="s">
        <v>54</v>
      </c>
    </row>
    <row r="62" spans="1:4" x14ac:dyDescent="0.3">
      <c r="A62" s="5" t="s">
        <v>115</v>
      </c>
      <c r="B62" t="s">
        <v>13</v>
      </c>
      <c r="C62" s="3" t="s">
        <v>117</v>
      </c>
      <c r="D62" s="3" t="s">
        <v>11</v>
      </c>
    </row>
    <row r="63" spans="1:4" x14ac:dyDescent="0.3">
      <c r="A63" s="5" t="s">
        <v>59</v>
      </c>
      <c r="B63" t="s">
        <v>5</v>
      </c>
      <c r="C63" s="3" t="s">
        <v>116</v>
      </c>
      <c r="D63" s="3" t="s">
        <v>6</v>
      </c>
    </row>
    <row r="64" spans="1:4" x14ac:dyDescent="0.3">
      <c r="A64" s="5" t="s">
        <v>60</v>
      </c>
      <c r="B64" t="s">
        <v>5</v>
      </c>
      <c r="C64" s="3" t="s">
        <v>116</v>
      </c>
      <c r="D64" s="3" t="s">
        <v>52</v>
      </c>
    </row>
    <row r="65" spans="1:4" x14ac:dyDescent="0.3">
      <c r="A65" s="5" t="s">
        <v>71</v>
      </c>
      <c r="B65"/>
      <c r="C65" s="3">
        <v>0</v>
      </c>
      <c r="D65" s="3" t="s">
        <v>52</v>
      </c>
    </row>
  </sheetData>
  <autoFilter ref="A1:D65" xr:uid="{E5108ADF-76D4-429C-A04D-AD780ADC801C}">
    <sortState xmlns:xlrd2="http://schemas.microsoft.com/office/spreadsheetml/2017/richdata2" ref="A2:D65">
      <sortCondition ref="A1:A65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6DD351-C922-413E-A8D8-AC58F18C9CD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6c3cccc-256a-4118-aa04-3b160e90e69c}" enabled="0" method="" siteId="{26c3cccc-256a-4118-aa04-3b160e90e6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RENOVAÇÃO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da Silva Oliveira Brochado</dc:creator>
  <cp:lastModifiedBy>Gabriel Da Silva Oliveira Brochado</cp:lastModifiedBy>
  <cp:lastPrinted>2025-08-26T15:53:30Z</cp:lastPrinted>
  <dcterms:created xsi:type="dcterms:W3CDTF">2025-08-05T15:45:46Z</dcterms:created>
  <dcterms:modified xsi:type="dcterms:W3CDTF">2025-10-27T20:32:58Z</dcterms:modified>
</cp:coreProperties>
</file>